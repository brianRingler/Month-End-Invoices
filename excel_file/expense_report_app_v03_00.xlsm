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Excel_Examples\Expense_Report\excel_file\"/>
    </mc:Choice>
  </mc:AlternateContent>
  <xr:revisionPtr revIDLastSave="0" documentId="13_ncr:1_{B149EC0E-78AB-48EC-8733-2D904E355D91}" xr6:coauthVersionLast="45" xr6:coauthVersionMax="45" xr10:uidLastSave="{00000000-0000-0000-0000-000000000000}"/>
  <bookViews>
    <workbookView xWindow="58305" yWindow="345" windowWidth="13995" windowHeight="15330" tabRatio="852" firstSheet="4" activeTab="8" xr2:uid="{3CA01758-6334-43C2-B14F-CF28FCE91C59}"/>
  </bookViews>
  <sheets>
    <sheet name="Company ABC-20" sheetId="17" r:id="rId1"/>
    <sheet name="Company RVCA-25" sheetId="18" r:id="rId2"/>
    <sheet name="Company FHG-71" sheetId="19" r:id="rId3"/>
    <sheet name="Company LDY-34" sheetId="20" r:id="rId4"/>
    <sheet name="Company QOS-41" sheetId="21" r:id="rId5"/>
    <sheet name="MASTER" sheetId="4" r:id="rId6"/>
    <sheet name="INVOICE_MASTER" sheetId="3" r:id="rId7"/>
    <sheet name="DATA" sheetId="5" r:id="rId8"/>
    <sheet name="FILE_PATHS" sheetId="6" r:id="rId9"/>
  </sheets>
  <functionGroups builtInGroupCount="19"/>
  <definedNames>
    <definedName name="billing_desc" localSheetId="0">'Company ABC-20'!$D$20:$D$42</definedName>
    <definedName name="billing_desc" localSheetId="2">'Company FHG-71'!$D$20:$D$42</definedName>
    <definedName name="billing_desc" localSheetId="3">'Company LDY-34'!$D$20:$D$42</definedName>
    <definedName name="billing_desc" localSheetId="4">'Company QOS-41'!$D$20:$D$42</definedName>
    <definedName name="billing_desc" localSheetId="1">'Company RVCA-25'!$D$20:$D$42</definedName>
    <definedName name="billing_desc">INVOICE_MASTER!$D$20:$D$42</definedName>
    <definedName name="color_rng">MASTER!$A$26:$Q$132</definedName>
    <definedName name="comp_rng">MASTER!$Q$26:$Q$132</definedName>
    <definedName name="company_name" localSheetId="0">'Company ABC-20'!$D$14</definedName>
    <definedName name="company_name" localSheetId="2">'Company FHG-71'!$D$14</definedName>
    <definedName name="company_name" localSheetId="3">'Company LDY-34'!$D$14</definedName>
    <definedName name="company_name" localSheetId="4">'Company QOS-41'!$D$14</definedName>
    <definedName name="company_name" localSheetId="1">'Company RVCA-25'!$D$14</definedName>
    <definedName name="company_name">INVOICE_MASTER!$D$14</definedName>
    <definedName name="days_due">MASTER!$J$3:$J$21</definedName>
    <definedName name="due_date" localSheetId="0">'Company ABC-20'!$J$16</definedName>
    <definedName name="due_date" localSheetId="2">'Company FHG-71'!$J$16</definedName>
    <definedName name="due_date" localSheetId="3">'Company LDY-34'!$J$16</definedName>
    <definedName name="due_date" localSheetId="4">'Company QOS-41'!$J$16</definedName>
    <definedName name="due_date" localSheetId="1">'Company RVCA-25'!$J$16</definedName>
    <definedName name="due_date">INVOICE_MASTER!$J$16</definedName>
    <definedName name="file_path_py">FILE_PATHS!$F$2</definedName>
    <definedName name="fill_white" localSheetId="0">'Company ABC-20'!$D$20:$J$42</definedName>
    <definedName name="fill_white" localSheetId="2">'Company FHG-71'!$D$20:$J$42</definedName>
    <definedName name="fill_white" localSheetId="3">'Company LDY-34'!$D$20:$J$42</definedName>
    <definedName name="fill_white" localSheetId="4">'Company QOS-41'!$D$20:$J$42</definedName>
    <definedName name="fill_white" localSheetId="1">'Company RVCA-25'!$D$20:$J$42</definedName>
    <definedName name="fill_white">INVOICE_MASTER!$D$20:$J$42</definedName>
    <definedName name="inv_cost" localSheetId="0">'Company ABC-20'!$I$20:$I$42</definedName>
    <definedName name="inv_cost" localSheetId="2">'Company FHG-71'!$I$20:$I$42</definedName>
    <definedName name="inv_cost" localSheetId="3">'Company LDY-34'!$I$20:$I$42</definedName>
    <definedName name="inv_cost" localSheetId="4">'Company QOS-41'!$I$20:$I$42</definedName>
    <definedName name="inv_cost" localSheetId="1">'Company RVCA-25'!$I$20:$I$42</definedName>
    <definedName name="inv_cost">INVOICE_MASTER!$I$20:$I$42</definedName>
    <definedName name="inv_num" localSheetId="0">'Company ABC-20'!$J$13</definedName>
    <definedName name="inv_num" localSheetId="2">'Company FHG-71'!$J$13</definedName>
    <definedName name="inv_num" localSheetId="3">'Company LDY-34'!$J$13</definedName>
    <definedName name="inv_num" localSheetId="4">'Company QOS-41'!$J$13</definedName>
    <definedName name="inv_num" localSheetId="1">'Company RVCA-25'!$J$13</definedName>
    <definedName name="inv_num">INVOICE_MASTER!$J$13</definedName>
    <definedName name="item_desc">MASTER!$A$26:$A$132</definedName>
    <definedName name="last_inv_num">DATA!$W$2</definedName>
    <definedName name="main_py">FILE_PATHS!$F$6</definedName>
    <definedName name="master_comp_name">MASTER!$K$3:$O$21</definedName>
    <definedName name="master_comp_num">MASTER!$Q$3:$Q$21</definedName>
    <definedName name="master_comp_total">MASTER!$P$3:$P$21</definedName>
    <definedName name="path_invoices">FILE_PATHS!$F$1</definedName>
    <definedName name="python_exe_path">FILE_PATHS!$F$3</definedName>
    <definedName name="todays_date" localSheetId="0">'Company ABC-20'!$J$15</definedName>
    <definedName name="todays_date" localSheetId="2">'Company FHG-71'!$J$15</definedName>
    <definedName name="todays_date" localSheetId="3">'Company LDY-34'!$J$15</definedName>
    <definedName name="todays_date" localSheetId="4">'Company QOS-41'!$J$15</definedName>
    <definedName name="todays_date" localSheetId="1">'Company RVCA-25'!$J$15</definedName>
    <definedName name="todays_date">INVOICE_MASTER!$J$15</definedName>
    <definedName name="total_cost">MASTER!$P$26:$P$132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3" i="21" l="1"/>
  <c r="I43" i="20"/>
  <c r="I43" i="19"/>
  <c r="I43" i="18"/>
  <c r="I43" i="17"/>
  <c r="A3" i="5" l="1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" i="5"/>
  <c r="E14" i="5" l="1"/>
  <c r="E13" i="5"/>
  <c r="E12" i="5"/>
  <c r="E11" i="5"/>
  <c r="E10" i="5"/>
  <c r="E9" i="5"/>
  <c r="E8" i="5"/>
  <c r="E7" i="5"/>
  <c r="E6" i="5"/>
  <c r="E5" i="5"/>
  <c r="E4" i="5"/>
  <c r="E3" i="5"/>
  <c r="E2" i="5"/>
  <c r="G2" i="5" l="1"/>
  <c r="Q50" i="4" l="1"/>
  <c r="Q51" i="4"/>
  <c r="B22" i="4" l="1"/>
  <c r="P31" i="4" l="1"/>
  <c r="P70" i="4"/>
  <c r="P68" i="4"/>
  <c r="P66" i="4"/>
  <c r="P64" i="4"/>
  <c r="P62" i="4"/>
  <c r="P59" i="4"/>
  <c r="P60" i="4"/>
  <c r="P72" i="4"/>
  <c r="P74" i="4"/>
  <c r="P76" i="4"/>
  <c r="P78" i="4"/>
  <c r="P80" i="4"/>
  <c r="P82" i="4"/>
  <c r="P84" i="4"/>
  <c r="P86" i="4"/>
  <c r="P88" i="4"/>
  <c r="P90" i="4"/>
  <c r="P57" i="4"/>
  <c r="P55" i="4"/>
  <c r="P53" i="4"/>
  <c r="P51" i="4"/>
  <c r="P92" i="4" l="1"/>
  <c r="P98" i="4"/>
  <c r="P100" i="4"/>
  <c r="P102" i="4"/>
  <c r="P104" i="4"/>
  <c r="P96" i="4"/>
  <c r="P94" i="4"/>
  <c r="P105" i="4"/>
  <c r="P107" i="4"/>
  <c r="P109" i="4"/>
  <c r="P111" i="4"/>
  <c r="P113" i="4"/>
  <c r="P115" i="4"/>
  <c r="P117" i="4"/>
  <c r="P119" i="4"/>
  <c r="P121" i="4"/>
  <c r="P127" i="4"/>
  <c r="P129" i="4"/>
  <c r="P131" i="4"/>
  <c r="P125" i="4"/>
  <c r="P123" i="4"/>
  <c r="Q131" i="4"/>
  <c r="Q129" i="4"/>
  <c r="Q127" i="4"/>
  <c r="Q125" i="4"/>
  <c r="Q123" i="4"/>
  <c r="Q121" i="4"/>
  <c r="Q119" i="4"/>
  <c r="Q117" i="4"/>
  <c r="Q115" i="4"/>
  <c r="Q113" i="4"/>
  <c r="Q111" i="4"/>
  <c r="Q109" i="4"/>
  <c r="Q107" i="4"/>
  <c r="Q105" i="4"/>
  <c r="Q103" i="4"/>
  <c r="P103" i="4"/>
  <c r="Q101" i="4"/>
  <c r="P101" i="4"/>
  <c r="Q99" i="4"/>
  <c r="P99" i="4"/>
  <c r="Q97" i="4"/>
  <c r="P97" i="4"/>
  <c r="Q95" i="4"/>
  <c r="P95" i="4"/>
  <c r="Q93" i="4"/>
  <c r="P93" i="4"/>
  <c r="Q91" i="4"/>
  <c r="P91" i="4"/>
  <c r="Q89" i="4"/>
  <c r="P89" i="4"/>
  <c r="Q87" i="4"/>
  <c r="P87" i="4"/>
  <c r="Q85" i="4"/>
  <c r="P85" i="4"/>
  <c r="Q83" i="4"/>
  <c r="P83" i="4"/>
  <c r="Q81" i="4"/>
  <c r="P81" i="4"/>
  <c r="Q79" i="4"/>
  <c r="P79" i="4"/>
  <c r="Q77" i="4"/>
  <c r="P77" i="4"/>
  <c r="Q75" i="4"/>
  <c r="P75" i="4"/>
  <c r="Q73" i="4"/>
  <c r="P73" i="4"/>
  <c r="Q71" i="4"/>
  <c r="P71" i="4"/>
  <c r="Q69" i="4"/>
  <c r="P69" i="4"/>
  <c r="Q67" i="4"/>
  <c r="P67" i="4"/>
  <c r="Q65" i="4"/>
  <c r="P65" i="4"/>
  <c r="Q63" i="4"/>
  <c r="P63" i="4"/>
  <c r="Q61" i="4"/>
  <c r="P61" i="4"/>
  <c r="Q59" i="4"/>
  <c r="Q57" i="4"/>
  <c r="Q55" i="4"/>
  <c r="Q53" i="4"/>
  <c r="P52" i="4"/>
  <c r="Q52" i="4"/>
  <c r="P54" i="4"/>
  <c r="Q54" i="4"/>
  <c r="P56" i="4"/>
  <c r="Q56" i="4"/>
  <c r="P58" i="4"/>
  <c r="Q58" i="4"/>
  <c r="P49" i="4"/>
  <c r="P47" i="4"/>
  <c r="P45" i="4"/>
  <c r="P43" i="4"/>
  <c r="P41" i="4"/>
  <c r="P39" i="4"/>
  <c r="P37" i="4"/>
  <c r="P35" i="4"/>
  <c r="P33" i="4"/>
  <c r="P27" i="4"/>
  <c r="P28" i="4"/>
  <c r="P29" i="4"/>
  <c r="P30" i="4"/>
  <c r="P32" i="4"/>
  <c r="P34" i="4"/>
  <c r="P36" i="4"/>
  <c r="P38" i="4"/>
  <c r="P40" i="4"/>
  <c r="P42" i="4"/>
  <c r="P44" i="4"/>
  <c r="P46" i="4"/>
  <c r="P48" i="4"/>
  <c r="P50" i="4"/>
  <c r="P106" i="4"/>
  <c r="P108" i="4"/>
  <c r="P110" i="4"/>
  <c r="P112" i="4"/>
  <c r="P114" i="4"/>
  <c r="P116" i="4"/>
  <c r="P118" i="4"/>
  <c r="P120" i="4"/>
  <c r="P122" i="4"/>
  <c r="P124" i="4"/>
  <c r="P126" i="4"/>
  <c r="P128" i="4"/>
  <c r="P130" i="4"/>
  <c r="P132" i="4"/>
  <c r="P26" i="4"/>
  <c r="P133" i="4" l="1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Q132" i="4"/>
  <c r="Q130" i="4"/>
  <c r="Q128" i="4"/>
  <c r="Q126" i="4"/>
  <c r="Q124" i="4"/>
  <c r="Q122" i="4"/>
  <c r="Q120" i="4"/>
  <c r="Q118" i="4"/>
  <c r="Q116" i="4"/>
  <c r="Q114" i="4"/>
  <c r="Q112" i="4"/>
  <c r="Q110" i="4"/>
  <c r="Q108" i="4"/>
  <c r="Q106" i="4"/>
  <c r="Q104" i="4"/>
  <c r="Q102" i="4"/>
  <c r="Q100" i="4"/>
  <c r="Q98" i="4"/>
  <c r="Q96" i="4"/>
  <c r="Q94" i="4"/>
  <c r="Q92" i="4"/>
  <c r="Q90" i="4"/>
  <c r="Q88" i="4"/>
  <c r="Q86" i="4"/>
  <c r="Q84" i="4"/>
  <c r="Q82" i="4"/>
  <c r="Q80" i="4"/>
  <c r="Q78" i="4"/>
  <c r="Q76" i="4"/>
  <c r="Q74" i="4"/>
  <c r="Q72" i="4"/>
  <c r="Q70" i="4"/>
  <c r="Q68" i="4"/>
  <c r="Q66" i="4"/>
  <c r="Q64" i="4"/>
  <c r="Q62" i="4"/>
  <c r="Q60" i="4"/>
  <c r="P15" i="4" l="1"/>
  <c r="P9" i="4"/>
  <c r="P11" i="4"/>
  <c r="P10" i="4"/>
  <c r="P4" i="4"/>
  <c r="P12" i="4"/>
  <c r="P14" i="4"/>
  <c r="P3" i="4"/>
  <c r="P13" i="4"/>
  <c r="P5" i="4"/>
  <c r="P7" i="4"/>
  <c r="P8" i="4"/>
  <c r="P6" i="4"/>
  <c r="I43" i="3"/>
  <c r="P22" i="4" l="1"/>
</calcChain>
</file>

<file path=xl/sharedStrings.xml><?xml version="1.0" encoding="utf-8"?>
<sst xmlns="http://schemas.openxmlformats.org/spreadsheetml/2006/main" count="230" uniqueCount="113">
  <si>
    <t>CO #</t>
  </si>
  <si>
    <t>Statement ending date :</t>
  </si>
  <si>
    <t>PHONES</t>
  </si>
  <si>
    <t>VEHICLE MAINT</t>
  </si>
  <si>
    <t>FUEL</t>
  </si>
  <si>
    <t>OFFICE  SUPPLIES</t>
  </si>
  <si>
    <t>COMPUTER SUPPLIES</t>
  </si>
  <si>
    <t>MISC ADMIN</t>
  </si>
  <si>
    <t>A/R</t>
  </si>
  <si>
    <t>EMPLOYEE TRAINING</t>
  </si>
  <si>
    <t>VEHICLE REPAIRS</t>
  </si>
  <si>
    <t>TRAVEL</t>
  </si>
  <si>
    <t>MEALS</t>
  </si>
  <si>
    <t>Billing Information:</t>
  </si>
  <si>
    <t xml:space="preserve">INVOICE # </t>
  </si>
  <si>
    <t>DATE</t>
  </si>
  <si>
    <t>DUE DATE</t>
  </si>
  <si>
    <t>Billing Description</t>
  </si>
  <si>
    <t>Cost</t>
  </si>
  <si>
    <t>Total</t>
  </si>
  <si>
    <t>Company ABC</t>
  </si>
  <si>
    <t>PO  BOX  12345</t>
  </si>
  <si>
    <t>Supplies</t>
  </si>
  <si>
    <t>Expense Description</t>
  </si>
  <si>
    <t xml:space="preserve">Expense Amount </t>
  </si>
  <si>
    <t>Company Name</t>
  </si>
  <si>
    <t>Phones</t>
  </si>
  <si>
    <t>Vehicle Maint</t>
  </si>
  <si>
    <t>Fuel</t>
  </si>
  <si>
    <t>Office Supplies</t>
  </si>
  <si>
    <t>Computer Sales</t>
  </si>
  <si>
    <t>MISC. Admin</t>
  </si>
  <si>
    <t>MISC Repairs</t>
  </si>
  <si>
    <t>Travel</t>
  </si>
  <si>
    <t>Meals</t>
  </si>
  <si>
    <t xml:space="preserve">Total </t>
  </si>
  <si>
    <t>Total by Co.</t>
  </si>
  <si>
    <t>Co. #</t>
  </si>
  <si>
    <t>Other</t>
  </si>
  <si>
    <t>Training</t>
  </si>
  <si>
    <t>somePlaceWarm, N.C. 1236</t>
  </si>
  <si>
    <t>sender_email_address</t>
  </si>
  <si>
    <t>to_email_address</t>
  </si>
  <si>
    <t>company_name</t>
  </si>
  <si>
    <t>steve.hudson7978@gmail.com</t>
  </si>
  <si>
    <t>ringler.brian@gmai.com</t>
  </si>
  <si>
    <t>attachement</t>
  </si>
  <si>
    <t>subject</t>
  </si>
  <si>
    <t>path_file</t>
  </si>
  <si>
    <t>body_email</t>
  </si>
  <si>
    <t>date_sent</t>
  </si>
  <si>
    <t>Enter the file path to Python scripts:</t>
  </si>
  <si>
    <t>Enter the file path where python.exe is located:</t>
  </si>
  <si>
    <t>C:\Python37</t>
  </si>
  <si>
    <t>Python Main Script</t>
  </si>
  <si>
    <t>main.py</t>
  </si>
  <si>
    <t>outlookSend.py</t>
  </si>
  <si>
    <t>Send Email</t>
  </si>
  <si>
    <t>Description Purchase 1</t>
  </si>
  <si>
    <t>Description Purchase 2</t>
  </si>
  <si>
    <t>Description Purchase 3</t>
  </si>
  <si>
    <t>Description Purchase 4</t>
  </si>
  <si>
    <t>Description Purchase 5</t>
  </si>
  <si>
    <t>Description Purchase 6</t>
  </si>
  <si>
    <t>Description Purchase 7</t>
  </si>
  <si>
    <t>Description Purchase 8</t>
  </si>
  <si>
    <t>Description Purchase 9</t>
  </si>
  <si>
    <t>Description Purchase 10</t>
  </si>
  <si>
    <t>Description Purchase 11</t>
  </si>
  <si>
    <t>Description Purchase 12</t>
  </si>
  <si>
    <t>Description Purchase 13</t>
  </si>
  <si>
    <t>Description Purchase 14</t>
  </si>
  <si>
    <t>Description Purchase 16</t>
  </si>
  <si>
    <t>Description Purchase 17</t>
  </si>
  <si>
    <t>Description Purchase 18</t>
  </si>
  <si>
    <t>From file 3 Description</t>
  </si>
  <si>
    <t>From File 2 Description</t>
  </si>
  <si>
    <t>Company FHG</t>
  </si>
  <si>
    <t>Company JJJ</t>
  </si>
  <si>
    <t>Company KLS</t>
  </si>
  <si>
    <t>Company OPD</t>
  </si>
  <si>
    <t>Company TTT</t>
  </si>
  <si>
    <t>Company WWW</t>
  </si>
  <si>
    <t>Company OOO</t>
  </si>
  <si>
    <t>Company LLL</t>
  </si>
  <si>
    <t>Company LDY</t>
  </si>
  <si>
    <t>Company QOS</t>
  </si>
  <si>
    <t>Company LSTAT</t>
  </si>
  <si>
    <t>This is a plain text email sent using win32com.Client.  HTML is an option, if desired, file should be attached for company: Company ABC</t>
  </si>
  <si>
    <t>Enter path where the invoices will be saved</t>
  </si>
  <si>
    <t>due_date_days</t>
  </si>
  <si>
    <t>last_inv_num</t>
  </si>
  <si>
    <t>Days Due</t>
  </si>
  <si>
    <t>C:\_Excel_Examples\Expense_Report\invoices</t>
  </si>
  <si>
    <t>C:\_Excel_Examples\Expense_Report\python_script</t>
  </si>
  <si>
    <t>email - 1</t>
  </si>
  <si>
    <t>email - 2</t>
  </si>
  <si>
    <t>email - 3</t>
  </si>
  <si>
    <t>email - 4</t>
  </si>
  <si>
    <t>email - 5</t>
  </si>
  <si>
    <t>email - 6</t>
  </si>
  <si>
    <t>email - 7</t>
  </si>
  <si>
    <t>email - 8</t>
  </si>
  <si>
    <t>email - 9</t>
  </si>
  <si>
    <t>email - 10</t>
  </si>
  <si>
    <t>email - 11</t>
  </si>
  <si>
    <t>email - 12</t>
  </si>
  <si>
    <t>email - 13</t>
  </si>
  <si>
    <t>Company RVCA</t>
  </si>
  <si>
    <t>Enter the Workbook name</t>
  </si>
  <si>
    <t>expense_report_app_v03_00.xlsm</t>
  </si>
  <si>
    <t>Enter the path to the master Workbook</t>
  </si>
  <si>
    <t>C:\_Excel_Examples\Expense_Report\excel_file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</si>
</sst>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;@"/>
    <numFmt numFmtId="165" formatCode="&quot;$&quot;#,##0.00;[Red]\(#&quot;$&quot;\,##0.00\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8"/>
      <name val="Calibri"/>
      <family val="2"/>
      <scheme val="minor"/>
    </font>
    <font>
      <b/>
      <sz val="10"/>
      <name val="Tahoma"/>
      <family val="2"/>
    </font>
    <font>
      <sz val="11"/>
      <color theme="1"/>
      <name val="Tahoma"/>
      <family val="2"/>
    </font>
    <font>
      <b/>
      <sz val="12"/>
      <color rgb="FFFF9900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b/>
      <sz val="11"/>
      <color rgb="FFFF9900"/>
      <name val="Tahoma"/>
      <family val="2"/>
    </font>
    <font>
      <b/>
      <sz val="10"/>
      <color rgb="FFFF9900"/>
      <name val="Tahoma"/>
      <family val="2"/>
    </font>
    <font>
      <sz val="10"/>
      <color rgb="FFFF9900"/>
      <name val="Tahoma"/>
      <family val="2"/>
    </font>
    <font>
      <sz val="11"/>
      <color rgb="FFFF9900"/>
      <name val="Tahoma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F2F2F2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 tint="-0.24994659260841701"/>
      </left>
      <right style="thick">
        <color theme="0" tint="-0.24994659260841701"/>
      </right>
      <top/>
      <bottom/>
      <diagonal/>
    </border>
    <border>
      <left/>
      <right/>
      <top style="thick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dott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/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8">
    <xf numFmtId="0" fontId="0" fillId="0" borderId="0" xfId="0"/>
    <xf numFmtId="0" fontId="2" fillId="2" borderId="0" xfId="0" applyFont="1" applyFill="1"/>
    <xf numFmtId="0" fontId="0" fillId="2" borderId="0" xfId="0" applyFill="1"/>
    <xf numFmtId="1" fontId="2" fillId="2" borderId="0" xfId="0" applyNumberFormat="1" applyFont="1" applyFill="1" applyAlignment="1">
      <alignment horizontal="center"/>
    </xf>
    <xf numFmtId="43" fontId="2" fillId="2" borderId="0" xfId="0" applyNumberFormat="1" applyFont="1" applyFill="1"/>
    <xf numFmtId="4" fontId="2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4" fontId="4" fillId="2" borderId="0" xfId="0" applyNumberFormat="1" applyFont="1" applyFill="1"/>
    <xf numFmtId="43" fontId="2" fillId="2" borderId="0" xfId="0" applyNumberFormat="1" applyFont="1" applyFill="1" applyAlignment="1">
      <alignment horizontal="left"/>
    </xf>
    <xf numFmtId="49" fontId="2" fillId="2" borderId="0" xfId="0" applyNumberFormat="1" applyFont="1" applyFill="1" applyAlignment="1">
      <alignment horizontal="center"/>
    </xf>
    <xf numFmtId="14" fontId="2" fillId="2" borderId="0" xfId="0" applyNumberFormat="1" applyFont="1" applyFill="1" applyAlignment="1">
      <alignment horizontal="left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2" borderId="0" xfId="0" applyFill="1" applyBorder="1"/>
    <xf numFmtId="0" fontId="0" fillId="0" borderId="0" xfId="0" applyBorder="1"/>
    <xf numFmtId="0" fontId="7" fillId="2" borderId="0" xfId="0" applyFont="1" applyFill="1" applyBorder="1"/>
    <xf numFmtId="0" fontId="8" fillId="2" borderId="0" xfId="0" applyFont="1" applyFill="1" applyBorder="1"/>
    <xf numFmtId="14" fontId="7" fillId="2" borderId="0" xfId="0" applyNumberFormat="1" applyFont="1" applyFill="1" applyBorder="1" applyAlignment="1">
      <alignment horizontal="left"/>
    </xf>
    <xf numFmtId="0" fontId="8" fillId="3" borderId="0" xfId="0" applyFont="1" applyFill="1" applyBorder="1"/>
    <xf numFmtId="0" fontId="8" fillId="3" borderId="0" xfId="0" applyFont="1" applyFill="1" applyBorder="1" applyAlignment="1">
      <alignment horizontal="left"/>
    </xf>
    <xf numFmtId="44" fontId="7" fillId="2" borderId="1" xfId="1" applyFont="1" applyFill="1" applyBorder="1"/>
    <xf numFmtId="4" fontId="10" fillId="2" borderId="0" xfId="0" applyNumberFormat="1" applyFont="1" applyFill="1"/>
    <xf numFmtId="4" fontId="7" fillId="2" borderId="0" xfId="0" applyNumberFormat="1" applyFont="1" applyFill="1"/>
    <xf numFmtId="0" fontId="8" fillId="2" borderId="0" xfId="0" applyFont="1" applyFill="1"/>
    <xf numFmtId="14" fontId="11" fillId="2" borderId="0" xfId="0" applyNumberFormat="1" applyFont="1" applyFill="1" applyAlignment="1">
      <alignment horizontal="left"/>
    </xf>
    <xf numFmtId="43" fontId="11" fillId="2" borderId="0" xfId="0" applyNumberFormat="1" applyFont="1" applyFill="1" applyAlignment="1">
      <alignment horizontal="left"/>
    </xf>
    <xf numFmtId="4" fontId="14" fillId="2" borderId="0" xfId="0" applyNumberFormat="1" applyFont="1" applyFill="1"/>
    <xf numFmtId="44" fontId="13" fillId="2" borderId="0" xfId="1" applyFont="1" applyFill="1"/>
    <xf numFmtId="0" fontId="15" fillId="2" borderId="0" xfId="0" applyFont="1" applyFill="1"/>
    <xf numFmtId="0" fontId="15" fillId="3" borderId="15" xfId="0" applyFont="1" applyFill="1" applyBorder="1"/>
    <xf numFmtId="0" fontId="9" fillId="2" borderId="0" xfId="0" applyFont="1" applyFill="1" applyAlignment="1">
      <alignment horizontal="center"/>
    </xf>
    <xf numFmtId="44" fontId="9" fillId="2" borderId="0" xfId="1" applyFont="1" applyFill="1" applyBorder="1" applyAlignment="1">
      <alignment horizontal="right"/>
    </xf>
    <xf numFmtId="0" fontId="0" fillId="3" borderId="0" xfId="0" applyFill="1"/>
    <xf numFmtId="43" fontId="9" fillId="2" borderId="0" xfId="0" applyNumberFormat="1" applyFont="1" applyFill="1" applyAlignment="1"/>
    <xf numFmtId="14" fontId="12" fillId="2" borderId="0" xfId="0" applyNumberFormat="1" applyFont="1" applyFill="1" applyAlignment="1">
      <alignment horizontal="right"/>
    </xf>
    <xf numFmtId="14" fontId="12" fillId="2" borderId="0" xfId="0" applyNumberFormat="1" applyFont="1" applyFill="1" applyAlignment="1">
      <alignment horizontal="center"/>
    </xf>
    <xf numFmtId="4" fontId="13" fillId="6" borderId="17" xfId="0" applyNumberFormat="1" applyFont="1" applyFill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wrapText="1"/>
    </xf>
    <xf numFmtId="7" fontId="15" fillId="2" borderId="9" xfId="1" applyNumberFormat="1" applyFont="1" applyFill="1" applyBorder="1" applyAlignment="1">
      <alignment wrapText="1"/>
    </xf>
    <xf numFmtId="7" fontId="15" fillId="2" borderId="9" xfId="1" applyNumberFormat="1" applyFont="1" applyFill="1" applyBorder="1" applyAlignment="1">
      <alignment horizontal="right"/>
    </xf>
    <xf numFmtId="44" fontId="15" fillId="2" borderId="9" xfId="1" applyFont="1" applyFill="1" applyBorder="1" applyAlignment="1">
      <alignment horizontal="right"/>
    </xf>
    <xf numFmtId="44" fontId="12" fillId="2" borderId="9" xfId="1" applyFont="1" applyFill="1" applyBorder="1"/>
    <xf numFmtId="37" fontId="15" fillId="2" borderId="10" xfId="1" applyNumberFormat="1" applyFont="1" applyFill="1" applyBorder="1" applyAlignment="1">
      <alignment horizontal="center"/>
    </xf>
    <xf numFmtId="0" fontId="15" fillId="5" borderId="11" xfId="0" applyFont="1" applyFill="1" applyBorder="1" applyAlignment="1">
      <alignment vertical="top" wrapText="1"/>
    </xf>
    <xf numFmtId="7" fontId="15" fillId="5" borderId="12" xfId="1" applyNumberFormat="1" applyFont="1" applyFill="1" applyBorder="1" applyAlignment="1">
      <alignment vertical="top" wrapText="1"/>
    </xf>
    <xf numFmtId="44" fontId="15" fillId="5" borderId="12" xfId="1" applyFont="1" applyFill="1" applyBorder="1" applyAlignment="1">
      <alignment horizontal="right"/>
    </xf>
    <xf numFmtId="44" fontId="12" fillId="5" borderId="12" xfId="1" applyFont="1" applyFill="1" applyBorder="1"/>
    <xf numFmtId="37" fontId="15" fillId="5" borderId="13" xfId="1" applyNumberFormat="1" applyFont="1" applyFill="1" applyBorder="1" applyAlignment="1">
      <alignment horizontal="center"/>
    </xf>
    <xf numFmtId="0" fontId="15" fillId="0" borderId="11" xfId="0" applyFont="1" applyFill="1" applyBorder="1" applyAlignment="1">
      <alignment vertical="top" wrapText="1"/>
    </xf>
    <xf numFmtId="7" fontId="15" fillId="2" borderId="12" xfId="1" applyNumberFormat="1" applyFont="1" applyFill="1" applyBorder="1" applyAlignment="1">
      <alignment vertical="top" wrapText="1"/>
    </xf>
    <xf numFmtId="44" fontId="15" fillId="2" borderId="12" xfId="1" applyFont="1" applyFill="1" applyBorder="1" applyAlignment="1">
      <alignment horizontal="right"/>
    </xf>
    <xf numFmtId="44" fontId="12" fillId="2" borderId="12" xfId="1" applyFont="1" applyFill="1" applyBorder="1"/>
    <xf numFmtId="7" fontId="15" fillId="3" borderId="12" xfId="1" applyNumberFormat="1" applyFont="1" applyFill="1" applyBorder="1" applyAlignment="1">
      <alignment vertical="top" wrapText="1"/>
    </xf>
    <xf numFmtId="44" fontId="15" fillId="3" borderId="12" xfId="1" applyFont="1" applyFill="1" applyBorder="1" applyAlignment="1">
      <alignment horizontal="right"/>
    </xf>
    <xf numFmtId="44" fontId="12" fillId="3" borderId="12" xfId="1" applyFont="1" applyFill="1" applyBorder="1"/>
    <xf numFmtId="37" fontId="15" fillId="3" borderId="13" xfId="1" applyNumberFormat="1" applyFont="1" applyFill="1" applyBorder="1" applyAlignment="1">
      <alignment horizontal="center"/>
    </xf>
    <xf numFmtId="44" fontId="15" fillId="3" borderId="12" xfId="1" applyFont="1" applyFill="1" applyBorder="1" applyAlignment="1">
      <alignment vertical="top" wrapText="1"/>
    </xf>
    <xf numFmtId="0" fontId="15" fillId="0" borderId="14" xfId="0" applyFont="1" applyFill="1" applyBorder="1" applyAlignment="1">
      <alignment vertical="top" wrapText="1"/>
    </xf>
    <xf numFmtId="44" fontId="15" fillId="3" borderId="15" xfId="1" applyFont="1" applyFill="1" applyBorder="1" applyAlignment="1">
      <alignment vertical="top" wrapText="1"/>
    </xf>
    <xf numFmtId="44" fontId="15" fillId="3" borderId="15" xfId="1" applyFont="1" applyFill="1" applyBorder="1" applyAlignment="1">
      <alignment horizontal="right"/>
    </xf>
    <xf numFmtId="44" fontId="12" fillId="3" borderId="15" xfId="1" applyFont="1" applyFill="1" applyBorder="1"/>
    <xf numFmtId="37" fontId="15" fillId="3" borderId="16" xfId="1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7" borderId="27" xfId="0" applyFill="1" applyBorder="1"/>
    <xf numFmtId="0" fontId="16" fillId="2" borderId="0" xfId="0" applyFont="1" applyFill="1" applyAlignment="1">
      <alignment horizontal="center"/>
    </xf>
    <xf numFmtId="0" fontId="16" fillId="8" borderId="27" xfId="0" applyFont="1" applyFill="1" applyBorder="1" applyAlignment="1">
      <alignment horizontal="center"/>
    </xf>
    <xf numFmtId="164" fontId="0" fillId="7" borderId="27" xfId="0" applyNumberFormat="1" applyFill="1" applyBorder="1"/>
    <xf numFmtId="165" fontId="0" fillId="3" borderId="0" xfId="0" applyNumberFormat="1" applyFill="1"/>
    <xf numFmtId="44" fontId="13" fillId="2" borderId="29" xfId="1" applyFont="1" applyFill="1" applyBorder="1" applyAlignment="1">
      <alignment horizontal="center"/>
    </xf>
    <xf numFmtId="0" fontId="12" fillId="2" borderId="30" xfId="0" applyFont="1" applyFill="1" applyBorder="1" applyAlignment="1">
      <alignment horizontal="center"/>
    </xf>
    <xf numFmtId="44" fontId="13" fillId="5" borderId="32" xfId="1" applyFont="1" applyFill="1" applyBorder="1" applyAlignment="1">
      <alignment horizontal="center"/>
    </xf>
    <xf numFmtId="0" fontId="12" fillId="5" borderId="33" xfId="0" applyFont="1" applyFill="1" applyBorder="1" applyAlignment="1">
      <alignment horizontal="center"/>
    </xf>
    <xf numFmtId="44" fontId="13" fillId="2" borderId="32" xfId="1" applyFont="1" applyFill="1" applyBorder="1" applyAlignment="1">
      <alignment horizontal="center"/>
    </xf>
    <xf numFmtId="0" fontId="12" fillId="2" borderId="33" xfId="0" applyFont="1" applyFill="1" applyBorder="1" applyAlignment="1">
      <alignment horizontal="center"/>
    </xf>
    <xf numFmtId="44" fontId="13" fillId="5" borderId="35" xfId="1" applyFont="1" applyFill="1" applyBorder="1" applyAlignment="1">
      <alignment horizontal="center"/>
    </xf>
    <xf numFmtId="0" fontId="12" fillId="5" borderId="36" xfId="0" applyFont="1" applyFill="1" applyBorder="1" applyAlignment="1">
      <alignment horizontal="center"/>
    </xf>
    <xf numFmtId="1" fontId="16" fillId="8" borderId="27" xfId="0" applyNumberFormat="1" applyFont="1" applyFill="1" applyBorder="1" applyAlignment="1">
      <alignment horizontal="center"/>
    </xf>
    <xf numFmtId="1" fontId="0" fillId="7" borderId="27" xfId="0" applyNumberFormat="1" applyFill="1" applyBorder="1"/>
    <xf numFmtId="1" fontId="0" fillId="2" borderId="0" xfId="0" applyNumberFormat="1" applyFill="1"/>
    <xf numFmtId="1" fontId="0" fillId="0" borderId="0" xfId="0" applyNumberFormat="1"/>
    <xf numFmtId="0" fontId="13" fillId="6" borderId="37" xfId="0" applyFont="1" applyFill="1" applyBorder="1" applyAlignment="1">
      <alignment horizontal="center" vertical="center"/>
    </xf>
    <xf numFmtId="0" fontId="12" fillId="2" borderId="28" xfId="0" applyFont="1" applyFill="1" applyBorder="1" applyAlignment="1">
      <alignment horizontal="center"/>
    </xf>
    <xf numFmtId="0" fontId="12" fillId="5" borderId="31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0" fontId="12" fillId="5" borderId="34" xfId="0" applyFont="1" applyFill="1" applyBorder="1" applyAlignment="1">
      <alignment horizontal="center"/>
    </xf>
    <xf numFmtId="14" fontId="7" fillId="2" borderId="0" xfId="0" applyNumberFormat="1" applyFont="1" applyFill="1" applyBorder="1" applyAlignment="1">
      <alignment horizontal="center"/>
    </xf>
    <xf numFmtId="4" fontId="0" fillId="7" borderId="27" xfId="0" applyNumberFormat="1" applyFill="1" applyBorder="1"/>
    <xf numFmtId="49" fontId="13" fillId="6" borderId="21" xfId="0" applyNumberFormat="1" applyFont="1" applyFill="1" applyBorder="1" applyAlignment="1">
      <alignment horizontal="center" vertical="center" wrapText="1"/>
    </xf>
    <xf numFmtId="49" fontId="13" fillId="6" borderId="25" xfId="0" applyNumberFormat="1" applyFont="1" applyFill="1" applyBorder="1" applyAlignment="1">
      <alignment horizontal="center" vertical="center" wrapText="1"/>
    </xf>
    <xf numFmtId="43" fontId="13" fillId="6" borderId="19" xfId="0" applyNumberFormat="1" applyFont="1" applyFill="1" applyBorder="1" applyAlignment="1">
      <alignment horizontal="center" vertical="center" wrapText="1"/>
    </xf>
    <xf numFmtId="43" fontId="13" fillId="6" borderId="23" xfId="0" applyNumberFormat="1" applyFont="1" applyFill="1" applyBorder="1" applyAlignment="1">
      <alignment horizontal="center" vertical="center" wrapText="1"/>
    </xf>
    <xf numFmtId="43" fontId="13" fillId="6" borderId="20" xfId="0" applyNumberFormat="1" applyFont="1" applyFill="1" applyBorder="1" applyAlignment="1">
      <alignment horizontal="center" vertical="center" wrapText="1"/>
    </xf>
    <xf numFmtId="43" fontId="13" fillId="6" borderId="24" xfId="0" applyNumberFormat="1" applyFont="1" applyFill="1" applyBorder="1" applyAlignment="1">
      <alignment horizontal="center" vertical="center" wrapText="1"/>
    </xf>
    <xf numFmtId="49" fontId="13" fillId="6" borderId="21" xfId="0" applyNumberFormat="1" applyFont="1" applyFill="1" applyBorder="1" applyAlignment="1">
      <alignment horizontal="center" vertical="center"/>
    </xf>
    <xf numFmtId="49" fontId="13" fillId="6" borderId="25" xfId="0" applyNumberFormat="1" applyFont="1" applyFill="1" applyBorder="1" applyAlignment="1">
      <alignment horizontal="center" vertical="center"/>
    </xf>
    <xf numFmtId="49" fontId="13" fillId="6" borderId="22" xfId="0" applyNumberFormat="1" applyFont="1" applyFill="1" applyBorder="1" applyAlignment="1">
      <alignment horizontal="center" vertical="center"/>
    </xf>
    <xf numFmtId="49" fontId="13" fillId="6" borderId="26" xfId="0" applyNumberFormat="1" applyFont="1" applyFill="1" applyBorder="1" applyAlignment="1">
      <alignment horizontal="center" vertical="center"/>
    </xf>
    <xf numFmtId="4" fontId="13" fillId="6" borderId="38" xfId="0" applyNumberFormat="1" applyFont="1" applyFill="1" applyBorder="1" applyAlignment="1">
      <alignment horizontal="center" vertical="center"/>
    </xf>
    <xf numFmtId="4" fontId="13" fillId="6" borderId="17" xfId="0" applyNumberFormat="1" applyFont="1" applyFill="1" applyBorder="1" applyAlignment="1">
      <alignment horizontal="center" vertical="center"/>
    </xf>
    <xf numFmtId="4" fontId="13" fillId="2" borderId="39" xfId="0" applyNumberFormat="1" applyFont="1" applyFill="1" applyBorder="1" applyAlignment="1">
      <alignment horizontal="center"/>
    </xf>
    <xf numFmtId="4" fontId="13" fillId="2" borderId="29" xfId="0" applyNumberFormat="1" applyFont="1" applyFill="1" applyBorder="1" applyAlignment="1">
      <alignment horizontal="center"/>
    </xf>
    <xf numFmtId="4" fontId="13" fillId="5" borderId="40" xfId="0" applyNumberFormat="1" applyFont="1" applyFill="1" applyBorder="1" applyAlignment="1">
      <alignment horizontal="center"/>
    </xf>
    <xf numFmtId="4" fontId="13" fillId="5" borderId="32" xfId="0" applyNumberFormat="1" applyFont="1" applyFill="1" applyBorder="1" applyAlignment="1">
      <alignment horizontal="center"/>
    </xf>
    <xf numFmtId="4" fontId="13" fillId="2" borderId="40" xfId="0" applyNumberFormat="1" applyFont="1" applyFill="1" applyBorder="1" applyAlignment="1">
      <alignment horizontal="center"/>
    </xf>
    <xf numFmtId="4" fontId="13" fillId="2" borderId="32" xfId="0" applyNumberFormat="1" applyFont="1" applyFill="1" applyBorder="1" applyAlignment="1">
      <alignment horizontal="center"/>
    </xf>
    <xf numFmtId="4" fontId="13" fillId="5" borderId="41" xfId="0" applyNumberFormat="1" applyFont="1" applyFill="1" applyBorder="1" applyAlignment="1">
      <alignment horizontal="center"/>
    </xf>
    <xf numFmtId="4" fontId="13" fillId="5" borderId="35" xfId="0" applyNumberFormat="1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9" borderId="27" xfId="0" applyFill="1" applyBorder="1" applyAlignment="1">
      <alignment horizontal="left"/>
    </xf>
    <xf numFmtId="0" fontId="0" fillId="8" borderId="27" xfId="0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2F2F2"/>
      <color rgb="FFFF9900"/>
      <color rgb="FF666699"/>
      <color rgb="FFF7DC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D06E21-F81A-4155-91E7-84298092E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87FA5A-9218-4E35-9C36-9ED18BDFA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7EAF507-E9EC-477C-A0E8-7C9B3AA0A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E474FC-FF59-41B2-8614-9E3273CE5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6F651F-7302-4117-ABF4-CE9502C00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233891</xdr:colOff>
      <xdr:row>0</xdr:row>
      <xdr:rowOff>110066</xdr:rowOff>
    </xdr:from>
    <xdr:to>
      <xdr:col>0</xdr:col>
      <xdr:colOff>2794211</xdr:colOff>
      <xdr:row>14</xdr:row>
      <xdr:rowOff>37383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5C197C58-AF9E-4841-A339-E37753CC1EFD}"/>
            </a:ext>
          </a:extLst>
        </xdr:cNvPr>
        <xdr:cNvGrpSpPr/>
      </xdr:nvGrpSpPr>
      <xdr:grpSpPr>
        <a:xfrm>
          <a:off x="233891" y="110066"/>
          <a:ext cx="2560320" cy="2520234"/>
          <a:chOff x="233891" y="110066"/>
          <a:chExt cx="2560320" cy="2520234"/>
        </a:xfrm>
      </xdr:grpSpPr>
      <xdr:sp macro="[0]!populate_invoic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30641E2-0A96-446E-B638-E88E84D69490}"/>
              </a:ext>
            </a:extLst>
          </xdr:cNvPr>
          <xdr:cNvSpPr/>
        </xdr:nvSpPr>
        <xdr:spPr>
          <a:xfrm>
            <a:off x="233891" y="110066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Generate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Invoices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hide_rows_not_used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9CE435D-5272-4078-B430-1312B4294A72}"/>
              </a:ext>
            </a:extLst>
          </xdr:cNvPr>
          <xdr:cNvSpPr/>
        </xdr:nvSpPr>
        <xdr:spPr>
          <a:xfrm>
            <a:off x="233891" y="2173100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Hide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Rows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credit_card_csv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E5AEEFE-6A6C-4A01-BE2E-F5ACB49758A9}"/>
              </a:ext>
            </a:extLst>
          </xdr:cNvPr>
          <xdr:cNvSpPr/>
        </xdr:nvSpPr>
        <xdr:spPr>
          <a:xfrm>
            <a:off x="233891" y="777483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Import CSV Files</a:t>
            </a:r>
          </a:p>
        </xdr:txBody>
      </xdr:sp>
      <xdr:sp macro="[0]!show_columns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74EDBD59-81BE-4480-856D-75FD0181303D}"/>
              </a:ext>
            </a:extLst>
          </xdr:cNvPr>
          <xdr:cNvSpPr/>
        </xdr:nvSpPr>
        <xdr:spPr>
          <a:xfrm>
            <a:off x="233891" y="1448612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Columns 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AA2695-707F-4F3C-9652-883FD85D2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781050"/>
          <a:ext cx="1989667" cy="973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95E5-4DE4-4C60-8235-E177C47B62F1}">
  <sheetPr codeName="Sheet5">
    <tabColor theme="4" tint="0.79998168889431442"/>
  </sheetPr>
  <dimension ref="A1:AJ84"/>
  <sheetViews>
    <sheetView zoomScale="90" zoomScaleNormal="90" workbookViewId="0">
      <selection activeCell="J16" sqref="J16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111"/>
      <c r="C4" s="110"/>
      <c r="D4" s="110"/>
      <c r="E4" s="110"/>
      <c r="F4" s="110"/>
      <c r="G4" s="110"/>
      <c r="H4" s="110"/>
      <c r="I4" s="110"/>
      <c r="J4" s="110"/>
      <c r="K4" s="11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112"/>
      <c r="C5" s="15"/>
      <c r="D5" s="15"/>
      <c r="E5" s="15"/>
      <c r="F5" s="15"/>
      <c r="G5" s="15"/>
      <c r="H5" s="15"/>
      <c r="I5" s="15"/>
      <c r="J5" s="15"/>
      <c r="K5" s="11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112"/>
      <c r="C6" s="15"/>
      <c r="D6" s="15"/>
      <c r="E6" s="15"/>
      <c r="F6" s="15"/>
      <c r="G6" s="15"/>
      <c r="H6" s="15"/>
      <c r="I6" s="15"/>
      <c r="J6" s="15"/>
      <c r="K6" s="11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112"/>
      <c r="C7" s="15"/>
      <c r="D7" s="15"/>
      <c r="E7" s="15"/>
      <c r="F7" s="15"/>
      <c r="G7" s="15"/>
      <c r="H7" s="15"/>
      <c r="I7" s="15"/>
      <c r="J7" s="15"/>
      <c r="K7" s="11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112"/>
      <c r="C8" s="15"/>
      <c r="D8" s="15"/>
      <c r="E8" s="15"/>
      <c r="F8" s="15"/>
      <c r="G8" s="15"/>
      <c r="H8" s="15"/>
      <c r="I8" s="15"/>
      <c r="J8" s="15"/>
      <c r="K8" s="11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112"/>
      <c r="C9" s="15"/>
      <c r="D9" s="15"/>
      <c r="E9" s="15"/>
      <c r="F9" s="15"/>
      <c r="G9" s="15"/>
      <c r="H9" s="15"/>
      <c r="I9" s="15"/>
      <c r="J9" s="15"/>
      <c r="K9" s="11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112"/>
      <c r="C10" s="15"/>
      <c r="D10" s="15"/>
      <c r="E10" s="15"/>
      <c r="F10" s="15"/>
      <c r="G10" s="15"/>
      <c r="H10" s="15"/>
      <c r="I10" s="15"/>
      <c r="J10" s="15"/>
      <c r="K10" s="11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112"/>
      <c r="C11" s="15"/>
      <c r="D11" s="15"/>
      <c r="E11" s="15"/>
      <c r="F11" s="15"/>
      <c r="G11" s="15"/>
      <c r="H11" s="15"/>
      <c r="I11" s="15"/>
      <c r="J11" s="15"/>
      <c r="K11" s="11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112"/>
      <c r="C12" s="15"/>
      <c r="D12" s="15"/>
      <c r="E12" s="15"/>
      <c r="F12" s="15"/>
      <c r="G12" s="15"/>
      <c r="H12" s="15"/>
      <c r="I12" s="15"/>
      <c r="J12" s="15"/>
      <c r="K12" s="11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112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38</v>
      </c>
      <c r="K13" s="11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112"/>
      <c r="C14" s="15"/>
      <c r="D14" s="17" t="s">
        <v>20</v>
      </c>
      <c r="E14" s="18"/>
      <c r="F14" s="18"/>
      <c r="G14" s="18"/>
      <c r="H14" s="18"/>
      <c r="I14" s="18"/>
      <c r="J14" s="18"/>
      <c r="K14" s="11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112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11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112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44146</v>
      </c>
      <c r="K16" s="11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112"/>
      <c r="C17" s="15"/>
      <c r="D17" s="18"/>
      <c r="E17" s="18"/>
      <c r="F17" s="18"/>
      <c r="G17" s="18"/>
      <c r="H17" s="18"/>
      <c r="I17" s="18"/>
      <c r="J17" s="18"/>
      <c r="K17" s="11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112"/>
      <c r="C18" s="15"/>
      <c r="D18" s="18"/>
      <c r="E18" s="18"/>
      <c r="F18" s="18"/>
      <c r="G18" s="18"/>
      <c r="H18" s="18"/>
      <c r="I18" s="18"/>
      <c r="J18" s="18"/>
      <c r="K18" s="11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112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11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112"/>
      <c r="C20" s="15"/>
      <c r="D20" s="34" t="s">
        <v>58</v>
      </c>
      <c r="E20" s="21"/>
      <c r="F20" s="20"/>
      <c r="G20" s="20"/>
      <c r="H20" s="20"/>
      <c r="I20" s="70">
        <v>100</v>
      </c>
      <c r="J20" s="20"/>
      <c r="K20" s="11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112"/>
      <c r="C21" s="15"/>
      <c r="D21" s="34" t="s">
        <v>59</v>
      </c>
      <c r="E21" s="21"/>
      <c r="F21" s="20"/>
      <c r="G21" s="20"/>
      <c r="H21" s="20"/>
      <c r="I21" s="70">
        <v>2</v>
      </c>
      <c r="J21" s="20"/>
      <c r="K21" s="11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112"/>
      <c r="C22" s="15"/>
      <c r="D22" s="34" t="s">
        <v>60</v>
      </c>
      <c r="E22" s="21"/>
      <c r="F22" s="20"/>
      <c r="G22" s="20"/>
      <c r="H22" s="20"/>
      <c r="I22" s="70">
        <v>1545</v>
      </c>
      <c r="J22" s="20"/>
      <c r="K22" s="11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112"/>
      <c r="C23" s="15"/>
      <c r="D23" s="34" t="s">
        <v>61</v>
      </c>
      <c r="E23" s="21"/>
      <c r="F23" s="20"/>
      <c r="G23" s="20"/>
      <c r="H23" s="20"/>
      <c r="I23" s="70">
        <v>66</v>
      </c>
      <c r="J23" s="20"/>
      <c r="K23" s="11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112"/>
      <c r="C24" s="15"/>
      <c r="D24" s="34" t="s">
        <v>62</v>
      </c>
      <c r="E24" s="20"/>
      <c r="F24" s="20"/>
      <c r="G24" s="20"/>
      <c r="H24" s="20"/>
      <c r="I24" s="70">
        <v>22</v>
      </c>
      <c r="J24" s="20"/>
      <c r="K24" s="11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112"/>
      <c r="C25" s="15"/>
      <c r="D25" s="34" t="s">
        <v>63</v>
      </c>
      <c r="E25" s="20"/>
      <c r="F25" s="20"/>
      <c r="G25" s="20"/>
      <c r="H25" s="20"/>
      <c r="I25" s="70">
        <v>11</v>
      </c>
      <c r="J25" s="20"/>
      <c r="K25" s="11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112"/>
      <c r="C26" s="15"/>
      <c r="D26" s="34" t="s">
        <v>64</v>
      </c>
      <c r="E26" s="20"/>
      <c r="F26" s="20"/>
      <c r="G26" s="20"/>
      <c r="H26" s="20"/>
      <c r="I26" s="70">
        <v>11</v>
      </c>
      <c r="J26" s="20"/>
      <c r="K26" s="11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112"/>
      <c r="C27" s="15"/>
      <c r="D27" s="34"/>
      <c r="E27" s="20"/>
      <c r="F27" s="20"/>
      <c r="G27" s="20"/>
      <c r="H27" s="20"/>
      <c r="I27" s="70"/>
      <c r="J27" s="20"/>
      <c r="K27" s="11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112"/>
      <c r="C28" s="15"/>
      <c r="D28" s="34"/>
      <c r="E28" s="20"/>
      <c r="F28" s="20"/>
      <c r="G28" s="20"/>
      <c r="H28" s="20"/>
      <c r="I28" s="70"/>
      <c r="J28" s="20"/>
      <c r="K28" s="11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112"/>
      <c r="C29" s="15"/>
      <c r="D29" s="34"/>
      <c r="E29" s="20"/>
      <c r="F29" s="20"/>
      <c r="G29" s="20"/>
      <c r="H29" s="20"/>
      <c r="I29" s="70"/>
      <c r="J29" s="20"/>
      <c r="K29" s="11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112"/>
      <c r="C30" s="15"/>
      <c r="D30" s="34"/>
      <c r="E30" s="20"/>
      <c r="F30" s="20"/>
      <c r="G30" s="20"/>
      <c r="H30" s="20"/>
      <c r="I30" s="70"/>
      <c r="J30" s="20"/>
      <c r="K30" s="11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112"/>
      <c r="C31" s="15"/>
      <c r="D31" s="34"/>
      <c r="E31" s="21"/>
      <c r="F31" s="20"/>
      <c r="G31" s="20"/>
      <c r="H31" s="20"/>
      <c r="I31" s="70"/>
      <c r="J31" s="20"/>
      <c r="K31" s="11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112"/>
      <c r="C32" s="15"/>
      <c r="D32" s="34"/>
      <c r="E32" s="21"/>
      <c r="F32" s="20"/>
      <c r="G32" s="20"/>
      <c r="H32" s="20"/>
      <c r="I32" s="70"/>
      <c r="J32" s="20"/>
      <c r="K32" s="11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112"/>
      <c r="C33" s="15"/>
      <c r="D33" s="34"/>
      <c r="E33" s="21"/>
      <c r="F33" s="20"/>
      <c r="G33" s="20"/>
      <c r="H33" s="20"/>
      <c r="I33" s="70"/>
      <c r="J33" s="20"/>
      <c r="K33" s="11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112"/>
      <c r="C34" s="15"/>
      <c r="D34" s="34"/>
      <c r="E34" s="21"/>
      <c r="F34" s="20"/>
      <c r="G34" s="20"/>
      <c r="H34" s="20"/>
      <c r="I34" s="70"/>
      <c r="J34" s="20"/>
      <c r="K34" s="11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112"/>
      <c r="C35" s="15"/>
      <c r="D35" s="34"/>
      <c r="E35" s="21"/>
      <c r="F35" s="20"/>
      <c r="G35" s="20"/>
      <c r="H35" s="20"/>
      <c r="I35" s="70"/>
      <c r="J35" s="20"/>
      <c r="K35" s="11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112"/>
      <c r="C36" s="15"/>
      <c r="D36" s="34"/>
      <c r="E36" s="21"/>
      <c r="F36" s="20"/>
      <c r="G36" s="20"/>
      <c r="H36" s="20"/>
      <c r="I36" s="70"/>
      <c r="J36" s="20"/>
      <c r="K36" s="11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112"/>
      <c r="C37" s="15"/>
      <c r="D37" s="34"/>
      <c r="E37" s="21"/>
      <c r="F37" s="20"/>
      <c r="G37" s="20"/>
      <c r="H37" s="20"/>
      <c r="I37" s="70"/>
      <c r="J37" s="20"/>
      <c r="K37" s="11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112"/>
      <c r="C38" s="15"/>
      <c r="D38" s="34"/>
      <c r="E38" s="21"/>
      <c r="F38" s="20"/>
      <c r="G38" s="20"/>
      <c r="H38" s="20"/>
      <c r="I38" s="70"/>
      <c r="J38" s="20"/>
      <c r="K38" s="11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112"/>
      <c r="C39" s="15"/>
      <c r="D39" s="34"/>
      <c r="E39" s="21"/>
      <c r="F39" s="20"/>
      <c r="G39" s="20"/>
      <c r="H39" s="20"/>
      <c r="I39" s="70"/>
      <c r="J39" s="20"/>
      <c r="K39" s="11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112"/>
      <c r="C40" s="15"/>
      <c r="D40" s="34"/>
      <c r="E40" s="21"/>
      <c r="F40" s="20"/>
      <c r="G40" s="20"/>
      <c r="H40" s="20"/>
      <c r="I40" s="70"/>
      <c r="J40" s="20"/>
      <c r="K40" s="11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112"/>
      <c r="C41" s="15"/>
      <c r="D41" s="34"/>
      <c r="E41" s="21"/>
      <c r="F41" s="20"/>
      <c r="G41" s="20"/>
      <c r="H41" s="20"/>
      <c r="I41" s="70"/>
      <c r="J41" s="20"/>
      <c r="K41" s="11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112"/>
      <c r="C42" s="15"/>
      <c r="D42" s="34"/>
      <c r="E42" s="21"/>
      <c r="F42" s="20"/>
      <c r="G42" s="20"/>
      <c r="H42" s="20"/>
      <c r="I42" s="70"/>
      <c r="J42" s="20"/>
      <c r="K42" s="11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112"/>
      <c r="C43" s="16"/>
      <c r="D43" s="17" t="s">
        <v>19</v>
      </c>
      <c r="E43" s="18"/>
      <c r="F43" s="18"/>
      <c r="G43" s="18"/>
      <c r="H43" s="18"/>
      <c r="I43" s="22">
        <f>SUM(inv_cost)</f>
        <v>1757</v>
      </c>
      <c r="J43" s="18"/>
      <c r="K43" s="11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112"/>
      <c r="C44" s="15"/>
      <c r="D44" s="18"/>
      <c r="E44" s="18"/>
      <c r="F44" s="18"/>
      <c r="G44" s="18"/>
      <c r="H44" s="18"/>
      <c r="I44" s="18"/>
      <c r="J44" s="18"/>
      <c r="K44" s="11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113"/>
      <c r="C45" s="110"/>
      <c r="D45" s="110"/>
      <c r="E45" s="110"/>
      <c r="F45" s="110"/>
      <c r="G45" s="110"/>
      <c r="H45" s="110"/>
      <c r="I45" s="110"/>
      <c r="J45" s="110"/>
      <c r="K45" s="11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D0947-517D-4D2A-B506-B0A54BEDF85C}">
  <sheetPr codeName="Sheet6">
    <tabColor theme="4" tint="0.79998168889431442"/>
  </sheetPr>
  <dimension ref="A1:AJ84"/>
  <sheetViews>
    <sheetView zoomScale="90" zoomScaleNormal="90" workbookViewId="0">
      <selection activeCell="J16" sqref="J16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111"/>
      <c r="C4" s="110"/>
      <c r="D4" s="110"/>
      <c r="E4" s="110"/>
      <c r="F4" s="110"/>
      <c r="G4" s="110"/>
      <c r="H4" s="110"/>
      <c r="I4" s="110"/>
      <c r="J4" s="110"/>
      <c r="K4" s="11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112"/>
      <c r="C5" s="15"/>
      <c r="D5" s="15"/>
      <c r="E5" s="15"/>
      <c r="F5" s="15"/>
      <c r="G5" s="15"/>
      <c r="H5" s="15"/>
      <c r="I5" s="15"/>
      <c r="J5" s="15"/>
      <c r="K5" s="11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112"/>
      <c r="C6" s="15"/>
      <c r="D6" s="15"/>
      <c r="E6" s="15"/>
      <c r="F6" s="15"/>
      <c r="G6" s="15"/>
      <c r="H6" s="15"/>
      <c r="I6" s="15"/>
      <c r="J6" s="15"/>
      <c r="K6" s="11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112"/>
      <c r="C7" s="15"/>
      <c r="D7" s="15"/>
      <c r="E7" s="15"/>
      <c r="F7" s="15"/>
      <c r="G7" s="15"/>
      <c r="H7" s="15"/>
      <c r="I7" s="15"/>
      <c r="J7" s="15"/>
      <c r="K7" s="11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112"/>
      <c r="C8" s="15"/>
      <c r="D8" s="15"/>
      <c r="E8" s="15"/>
      <c r="F8" s="15"/>
      <c r="G8" s="15"/>
      <c r="H8" s="15"/>
      <c r="I8" s="15"/>
      <c r="J8" s="15"/>
      <c r="K8" s="11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112"/>
      <c r="C9" s="15"/>
      <c r="D9" s="15"/>
      <c r="E9" s="15"/>
      <c r="F9" s="15"/>
      <c r="G9" s="15"/>
      <c r="H9" s="15"/>
      <c r="I9" s="15"/>
      <c r="J9" s="15"/>
      <c r="K9" s="11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112"/>
      <c r="C10" s="15"/>
      <c r="D10" s="15"/>
      <c r="E10" s="15"/>
      <c r="F10" s="15"/>
      <c r="G10" s="15"/>
      <c r="H10" s="15"/>
      <c r="I10" s="15"/>
      <c r="J10" s="15"/>
      <c r="K10" s="11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112"/>
      <c r="C11" s="15"/>
      <c r="D11" s="15"/>
      <c r="E11" s="15"/>
      <c r="F11" s="15"/>
      <c r="G11" s="15"/>
      <c r="H11" s="15"/>
      <c r="I11" s="15"/>
      <c r="J11" s="15"/>
      <c r="K11" s="11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112"/>
      <c r="C12" s="15"/>
      <c r="D12" s="15"/>
      <c r="E12" s="15"/>
      <c r="F12" s="15"/>
      <c r="G12" s="15"/>
      <c r="H12" s="15"/>
      <c r="I12" s="15"/>
      <c r="J12" s="15"/>
      <c r="K12" s="11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112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39</v>
      </c>
      <c r="K13" s="11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112"/>
      <c r="C14" s="15"/>
      <c r="D14" s="17" t="s">
        <v>108</v>
      </c>
      <c r="E14" s="18"/>
      <c r="F14" s="18"/>
      <c r="G14" s="18"/>
      <c r="H14" s="18"/>
      <c r="I14" s="18"/>
      <c r="J14" s="18"/>
      <c r="K14" s="11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112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11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112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44148</v>
      </c>
      <c r="K16" s="11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112"/>
      <c r="C17" s="15"/>
      <c r="D17" s="18"/>
      <c r="E17" s="18"/>
      <c r="F17" s="18"/>
      <c r="G17" s="18"/>
      <c r="H17" s="18"/>
      <c r="I17" s="18"/>
      <c r="J17" s="18"/>
      <c r="K17" s="11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112"/>
      <c r="C18" s="15"/>
      <c r="D18" s="18"/>
      <c r="E18" s="18"/>
      <c r="F18" s="18"/>
      <c r="G18" s="18"/>
      <c r="H18" s="18"/>
      <c r="I18" s="18"/>
      <c r="J18" s="18"/>
      <c r="K18" s="11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112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11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112"/>
      <c r="C20" s="15"/>
      <c r="D20" s="34" t="s">
        <v>76</v>
      </c>
      <c r="E20" s="21"/>
      <c r="F20" s="20"/>
      <c r="G20" s="20"/>
      <c r="H20" s="20"/>
      <c r="I20" s="70">
        <v>222</v>
      </c>
      <c r="J20" s="20"/>
      <c r="K20" s="11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112"/>
      <c r="C21" s="15"/>
      <c r="D21" s="34" t="s">
        <v>76</v>
      </c>
      <c r="E21" s="21"/>
      <c r="F21" s="20"/>
      <c r="G21" s="20"/>
      <c r="H21" s="20"/>
      <c r="I21" s="70">
        <v>2222</v>
      </c>
      <c r="J21" s="20"/>
      <c r="K21" s="11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112"/>
      <c r="C22" s="15"/>
      <c r="D22" s="34"/>
      <c r="E22" s="21"/>
      <c r="F22" s="20"/>
      <c r="G22" s="20"/>
      <c r="H22" s="20"/>
      <c r="I22" s="70"/>
      <c r="J22" s="20"/>
      <c r="K22" s="11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112"/>
      <c r="C23" s="15"/>
      <c r="D23" s="34"/>
      <c r="E23" s="21"/>
      <c r="F23" s="20"/>
      <c r="G23" s="20"/>
      <c r="H23" s="20"/>
      <c r="I23" s="70"/>
      <c r="J23" s="20"/>
      <c r="K23" s="11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112"/>
      <c r="C24" s="15"/>
      <c r="D24" s="34"/>
      <c r="E24" s="20"/>
      <c r="F24" s="20"/>
      <c r="G24" s="20"/>
      <c r="H24" s="20"/>
      <c r="I24" s="70"/>
      <c r="J24" s="20"/>
      <c r="K24" s="11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112"/>
      <c r="C25" s="15"/>
      <c r="D25" s="34"/>
      <c r="E25" s="20"/>
      <c r="F25" s="20"/>
      <c r="G25" s="20"/>
      <c r="H25" s="20"/>
      <c r="I25" s="70"/>
      <c r="J25" s="20"/>
      <c r="K25" s="11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112"/>
      <c r="C26" s="15"/>
      <c r="D26" s="34"/>
      <c r="E26" s="20"/>
      <c r="F26" s="20"/>
      <c r="G26" s="20"/>
      <c r="H26" s="20"/>
      <c r="I26" s="70"/>
      <c r="J26" s="20"/>
      <c r="K26" s="11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112"/>
      <c r="C27" s="15"/>
      <c r="D27" s="34"/>
      <c r="E27" s="20"/>
      <c r="F27" s="20"/>
      <c r="G27" s="20"/>
      <c r="H27" s="20"/>
      <c r="I27" s="70"/>
      <c r="J27" s="20"/>
      <c r="K27" s="11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112"/>
      <c r="C28" s="15"/>
      <c r="D28" s="34"/>
      <c r="E28" s="20"/>
      <c r="F28" s="20"/>
      <c r="G28" s="20"/>
      <c r="H28" s="20"/>
      <c r="I28" s="70"/>
      <c r="J28" s="20"/>
      <c r="K28" s="11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112"/>
      <c r="C29" s="15"/>
      <c r="D29" s="34"/>
      <c r="E29" s="20"/>
      <c r="F29" s="20"/>
      <c r="G29" s="20"/>
      <c r="H29" s="20"/>
      <c r="I29" s="70"/>
      <c r="J29" s="20"/>
      <c r="K29" s="11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112"/>
      <c r="C30" s="15"/>
      <c r="D30" s="34"/>
      <c r="E30" s="20"/>
      <c r="F30" s="20"/>
      <c r="G30" s="20"/>
      <c r="H30" s="20"/>
      <c r="I30" s="70"/>
      <c r="J30" s="20"/>
      <c r="K30" s="11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112"/>
      <c r="C31" s="15"/>
      <c r="D31" s="34"/>
      <c r="E31" s="21"/>
      <c r="F31" s="20"/>
      <c r="G31" s="20"/>
      <c r="H31" s="20"/>
      <c r="I31" s="70"/>
      <c r="J31" s="20"/>
      <c r="K31" s="11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112"/>
      <c r="C32" s="15"/>
      <c r="D32" s="34"/>
      <c r="E32" s="21"/>
      <c r="F32" s="20"/>
      <c r="G32" s="20"/>
      <c r="H32" s="20"/>
      <c r="I32" s="70"/>
      <c r="J32" s="20"/>
      <c r="K32" s="11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112"/>
      <c r="C33" s="15"/>
      <c r="D33" s="34"/>
      <c r="E33" s="21"/>
      <c r="F33" s="20"/>
      <c r="G33" s="20"/>
      <c r="H33" s="20"/>
      <c r="I33" s="70"/>
      <c r="J33" s="20"/>
      <c r="K33" s="11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112"/>
      <c r="C34" s="15"/>
      <c r="D34" s="34"/>
      <c r="E34" s="21"/>
      <c r="F34" s="20"/>
      <c r="G34" s="20"/>
      <c r="H34" s="20"/>
      <c r="I34" s="70"/>
      <c r="J34" s="20"/>
      <c r="K34" s="11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112"/>
      <c r="C35" s="15"/>
      <c r="D35" s="34"/>
      <c r="E35" s="21"/>
      <c r="F35" s="20"/>
      <c r="G35" s="20"/>
      <c r="H35" s="20"/>
      <c r="I35" s="70"/>
      <c r="J35" s="20"/>
      <c r="K35" s="11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112"/>
      <c r="C36" s="15"/>
      <c r="D36" s="34"/>
      <c r="E36" s="21"/>
      <c r="F36" s="20"/>
      <c r="G36" s="20"/>
      <c r="H36" s="20"/>
      <c r="I36" s="70"/>
      <c r="J36" s="20"/>
      <c r="K36" s="11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112"/>
      <c r="C37" s="15"/>
      <c r="D37" s="34"/>
      <c r="E37" s="21"/>
      <c r="F37" s="20"/>
      <c r="G37" s="20"/>
      <c r="H37" s="20"/>
      <c r="I37" s="70"/>
      <c r="J37" s="20"/>
      <c r="K37" s="11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112"/>
      <c r="C38" s="15"/>
      <c r="D38" s="34"/>
      <c r="E38" s="21"/>
      <c r="F38" s="20"/>
      <c r="G38" s="20"/>
      <c r="H38" s="20"/>
      <c r="I38" s="70"/>
      <c r="J38" s="20"/>
      <c r="K38" s="11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112"/>
      <c r="C39" s="15"/>
      <c r="D39" s="34"/>
      <c r="E39" s="21"/>
      <c r="F39" s="20"/>
      <c r="G39" s="20"/>
      <c r="H39" s="20"/>
      <c r="I39" s="70"/>
      <c r="J39" s="20"/>
      <c r="K39" s="11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112"/>
      <c r="C40" s="15"/>
      <c r="D40" s="34"/>
      <c r="E40" s="21"/>
      <c r="F40" s="20"/>
      <c r="G40" s="20"/>
      <c r="H40" s="20"/>
      <c r="I40" s="70"/>
      <c r="J40" s="20"/>
      <c r="K40" s="11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112"/>
      <c r="C41" s="15"/>
      <c r="D41" s="34"/>
      <c r="E41" s="21"/>
      <c r="F41" s="20"/>
      <c r="G41" s="20"/>
      <c r="H41" s="20"/>
      <c r="I41" s="70"/>
      <c r="J41" s="20"/>
      <c r="K41" s="11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112"/>
      <c r="C42" s="15"/>
      <c r="D42" s="34"/>
      <c r="E42" s="21"/>
      <c r="F42" s="20"/>
      <c r="G42" s="20"/>
      <c r="H42" s="20"/>
      <c r="I42" s="70"/>
      <c r="J42" s="20"/>
      <c r="K42" s="11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112"/>
      <c r="C43" s="16"/>
      <c r="D43" s="17" t="s">
        <v>19</v>
      </c>
      <c r="E43" s="18"/>
      <c r="F43" s="18"/>
      <c r="G43" s="18"/>
      <c r="H43" s="18"/>
      <c r="I43" s="22">
        <f>SUM(inv_cost)</f>
        <v>2444</v>
      </c>
      <c r="J43" s="18"/>
      <c r="K43" s="11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112"/>
      <c r="C44" s="15"/>
      <c r="D44" s="18"/>
      <c r="E44" s="18"/>
      <c r="F44" s="18"/>
      <c r="G44" s="18"/>
      <c r="H44" s="18"/>
      <c r="I44" s="18"/>
      <c r="J44" s="18"/>
      <c r="K44" s="11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113"/>
      <c r="C45" s="110"/>
      <c r="D45" s="110"/>
      <c r="E45" s="110"/>
      <c r="F45" s="110"/>
      <c r="G45" s="110"/>
      <c r="H45" s="110"/>
      <c r="I45" s="110"/>
      <c r="J45" s="110"/>
      <c r="K45" s="11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57DAE-4F23-4433-9FDD-70873961898A}">
  <sheetPr codeName="Sheet7">
    <tabColor theme="4" tint="0.79998168889431442"/>
  </sheetPr>
  <dimension ref="A1:AJ84"/>
  <sheetViews>
    <sheetView zoomScale="90" zoomScaleNormal="90" workbookViewId="0">
      <selection activeCell="J16" sqref="J16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111"/>
      <c r="C4" s="110"/>
      <c r="D4" s="110"/>
      <c r="E4" s="110"/>
      <c r="F4" s="110"/>
      <c r="G4" s="110"/>
      <c r="H4" s="110"/>
      <c r="I4" s="110"/>
      <c r="J4" s="110"/>
      <c r="K4" s="11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112"/>
      <c r="C5" s="15"/>
      <c r="D5" s="15"/>
      <c r="E5" s="15"/>
      <c r="F5" s="15"/>
      <c r="G5" s="15"/>
      <c r="H5" s="15"/>
      <c r="I5" s="15"/>
      <c r="J5" s="15"/>
      <c r="K5" s="11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112"/>
      <c r="C6" s="15"/>
      <c r="D6" s="15"/>
      <c r="E6" s="15"/>
      <c r="F6" s="15"/>
      <c r="G6" s="15"/>
      <c r="H6" s="15"/>
      <c r="I6" s="15"/>
      <c r="J6" s="15"/>
      <c r="K6" s="11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112"/>
      <c r="C7" s="15"/>
      <c r="D7" s="15"/>
      <c r="E7" s="15"/>
      <c r="F7" s="15"/>
      <c r="G7" s="15"/>
      <c r="H7" s="15"/>
      <c r="I7" s="15"/>
      <c r="J7" s="15"/>
      <c r="K7" s="11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112"/>
      <c r="C8" s="15"/>
      <c r="D8" s="15"/>
      <c r="E8" s="15"/>
      <c r="F8" s="15"/>
      <c r="G8" s="15"/>
      <c r="H8" s="15"/>
      <c r="I8" s="15"/>
      <c r="J8" s="15"/>
      <c r="K8" s="11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112"/>
      <c r="C9" s="15"/>
      <c r="D9" s="15"/>
      <c r="E9" s="15"/>
      <c r="F9" s="15"/>
      <c r="G9" s="15"/>
      <c r="H9" s="15"/>
      <c r="I9" s="15"/>
      <c r="J9" s="15"/>
      <c r="K9" s="11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112"/>
      <c r="C10" s="15"/>
      <c r="D10" s="15"/>
      <c r="E10" s="15"/>
      <c r="F10" s="15"/>
      <c r="G10" s="15"/>
      <c r="H10" s="15"/>
      <c r="I10" s="15"/>
      <c r="J10" s="15"/>
      <c r="K10" s="11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112"/>
      <c r="C11" s="15"/>
      <c r="D11" s="15"/>
      <c r="E11" s="15"/>
      <c r="F11" s="15"/>
      <c r="G11" s="15"/>
      <c r="H11" s="15"/>
      <c r="I11" s="15"/>
      <c r="J11" s="15"/>
      <c r="K11" s="11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112"/>
      <c r="C12" s="15"/>
      <c r="D12" s="15"/>
      <c r="E12" s="15"/>
      <c r="F12" s="15"/>
      <c r="G12" s="15"/>
      <c r="H12" s="15"/>
      <c r="I12" s="15"/>
      <c r="J12" s="15"/>
      <c r="K12" s="11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112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40</v>
      </c>
      <c r="K13" s="11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112"/>
      <c r="C14" s="15"/>
      <c r="D14" s="17" t="s">
        <v>77</v>
      </c>
      <c r="E14" s="18"/>
      <c r="F14" s="18"/>
      <c r="G14" s="18"/>
      <c r="H14" s="18"/>
      <c r="I14" s="18"/>
      <c r="J14" s="18"/>
      <c r="K14" s="11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112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11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112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44149</v>
      </c>
      <c r="K16" s="11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112"/>
      <c r="C17" s="15"/>
      <c r="D17" s="18"/>
      <c r="E17" s="18"/>
      <c r="F17" s="18"/>
      <c r="G17" s="18"/>
      <c r="H17" s="18"/>
      <c r="I17" s="18"/>
      <c r="J17" s="18"/>
      <c r="K17" s="11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112"/>
      <c r="C18" s="15"/>
      <c r="D18" s="18"/>
      <c r="E18" s="18"/>
      <c r="F18" s="18"/>
      <c r="G18" s="18"/>
      <c r="H18" s="18"/>
      <c r="I18" s="18"/>
      <c r="J18" s="18"/>
      <c r="K18" s="11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112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11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112"/>
      <c r="C20" s="15"/>
      <c r="D20" s="34" t="s">
        <v>65</v>
      </c>
      <c r="E20" s="21"/>
      <c r="F20" s="20"/>
      <c r="G20" s="20"/>
      <c r="H20" s="20"/>
      <c r="I20" s="70">
        <v>11</v>
      </c>
      <c r="J20" s="20"/>
      <c r="K20" s="11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112"/>
      <c r="C21" s="15"/>
      <c r="D21" s="34" t="s">
        <v>66</v>
      </c>
      <c r="E21" s="21"/>
      <c r="F21" s="20"/>
      <c r="G21" s="20"/>
      <c r="H21" s="20"/>
      <c r="I21" s="70">
        <v>11</v>
      </c>
      <c r="J21" s="20"/>
      <c r="K21" s="11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112"/>
      <c r="C22" s="15"/>
      <c r="D22" s="34" t="s">
        <v>67</v>
      </c>
      <c r="E22" s="21"/>
      <c r="F22" s="20"/>
      <c r="G22" s="20"/>
      <c r="H22" s="20"/>
      <c r="I22" s="70">
        <v>11</v>
      </c>
      <c r="J22" s="20"/>
      <c r="K22" s="11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112"/>
      <c r="C23" s="15"/>
      <c r="D23" s="34" t="s">
        <v>68</v>
      </c>
      <c r="E23" s="21"/>
      <c r="F23" s="20"/>
      <c r="G23" s="20"/>
      <c r="H23" s="20"/>
      <c r="I23" s="70">
        <v>11</v>
      </c>
      <c r="J23" s="20"/>
      <c r="K23" s="11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112"/>
      <c r="C24" s="15"/>
      <c r="D24" s="34" t="s">
        <v>69</v>
      </c>
      <c r="E24" s="20"/>
      <c r="F24" s="20"/>
      <c r="G24" s="20"/>
      <c r="H24" s="20"/>
      <c r="I24" s="70">
        <v>11</v>
      </c>
      <c r="J24" s="20"/>
      <c r="K24" s="11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112"/>
      <c r="C25" s="15"/>
      <c r="D25" s="34" t="s">
        <v>70</v>
      </c>
      <c r="E25" s="20"/>
      <c r="F25" s="20"/>
      <c r="G25" s="20"/>
      <c r="H25" s="20"/>
      <c r="I25" s="70">
        <v>11</v>
      </c>
      <c r="J25" s="20"/>
      <c r="K25" s="11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112"/>
      <c r="C26" s="15"/>
      <c r="D26" s="34" t="s">
        <v>71</v>
      </c>
      <c r="E26" s="20"/>
      <c r="F26" s="20"/>
      <c r="G26" s="20"/>
      <c r="H26" s="20"/>
      <c r="I26" s="70">
        <v>11</v>
      </c>
      <c r="J26" s="20"/>
      <c r="K26" s="11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112"/>
      <c r="C27" s="15"/>
      <c r="D27" s="34" t="s">
        <v>73</v>
      </c>
      <c r="E27" s="20"/>
      <c r="F27" s="20"/>
      <c r="G27" s="20"/>
      <c r="H27" s="20"/>
      <c r="I27" s="70">
        <v>11</v>
      </c>
      <c r="J27" s="20"/>
      <c r="K27" s="11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112"/>
      <c r="C28" s="15"/>
      <c r="D28" s="34" t="s">
        <v>74</v>
      </c>
      <c r="E28" s="20"/>
      <c r="F28" s="20"/>
      <c r="G28" s="20"/>
      <c r="H28" s="20"/>
      <c r="I28" s="70">
        <v>11</v>
      </c>
      <c r="J28" s="20"/>
      <c r="K28" s="11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112"/>
      <c r="C29" s="15"/>
      <c r="D29" s="34"/>
      <c r="E29" s="20"/>
      <c r="F29" s="20"/>
      <c r="G29" s="20"/>
      <c r="H29" s="20"/>
      <c r="I29" s="70"/>
      <c r="J29" s="20"/>
      <c r="K29" s="11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112"/>
      <c r="C30" s="15"/>
      <c r="D30" s="34"/>
      <c r="E30" s="20"/>
      <c r="F30" s="20"/>
      <c r="G30" s="20"/>
      <c r="H30" s="20"/>
      <c r="I30" s="70"/>
      <c r="J30" s="20"/>
      <c r="K30" s="11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112"/>
      <c r="C31" s="15"/>
      <c r="D31" s="34"/>
      <c r="E31" s="21"/>
      <c r="F31" s="20"/>
      <c r="G31" s="20"/>
      <c r="H31" s="20"/>
      <c r="I31" s="70"/>
      <c r="J31" s="20"/>
      <c r="K31" s="11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112"/>
      <c r="C32" s="15"/>
      <c r="D32" s="34"/>
      <c r="E32" s="21"/>
      <c r="F32" s="20"/>
      <c r="G32" s="20"/>
      <c r="H32" s="20"/>
      <c r="I32" s="70"/>
      <c r="J32" s="20"/>
      <c r="K32" s="11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112"/>
      <c r="C33" s="15"/>
      <c r="D33" s="34"/>
      <c r="E33" s="21"/>
      <c r="F33" s="20"/>
      <c r="G33" s="20"/>
      <c r="H33" s="20"/>
      <c r="I33" s="70"/>
      <c r="J33" s="20"/>
      <c r="K33" s="11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112"/>
      <c r="C34" s="15"/>
      <c r="D34" s="34"/>
      <c r="E34" s="21"/>
      <c r="F34" s="20"/>
      <c r="G34" s="20"/>
      <c r="H34" s="20"/>
      <c r="I34" s="70"/>
      <c r="J34" s="20"/>
      <c r="K34" s="11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112"/>
      <c r="C35" s="15"/>
      <c r="D35" s="34"/>
      <c r="E35" s="21"/>
      <c r="F35" s="20"/>
      <c r="G35" s="20"/>
      <c r="H35" s="20"/>
      <c r="I35" s="70"/>
      <c r="J35" s="20"/>
      <c r="K35" s="11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112"/>
      <c r="C36" s="15"/>
      <c r="D36" s="34"/>
      <c r="E36" s="21"/>
      <c r="F36" s="20"/>
      <c r="G36" s="20"/>
      <c r="H36" s="20"/>
      <c r="I36" s="70"/>
      <c r="J36" s="20"/>
      <c r="K36" s="11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112"/>
      <c r="C37" s="15"/>
      <c r="D37" s="34"/>
      <c r="E37" s="21"/>
      <c r="F37" s="20"/>
      <c r="G37" s="20"/>
      <c r="H37" s="20"/>
      <c r="I37" s="70"/>
      <c r="J37" s="20"/>
      <c r="K37" s="11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112"/>
      <c r="C38" s="15"/>
      <c r="D38" s="34"/>
      <c r="E38" s="21"/>
      <c r="F38" s="20"/>
      <c r="G38" s="20"/>
      <c r="H38" s="20"/>
      <c r="I38" s="70"/>
      <c r="J38" s="20"/>
      <c r="K38" s="11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112"/>
      <c r="C39" s="15"/>
      <c r="D39" s="34"/>
      <c r="E39" s="21"/>
      <c r="F39" s="20"/>
      <c r="G39" s="20"/>
      <c r="H39" s="20"/>
      <c r="I39" s="70"/>
      <c r="J39" s="20"/>
      <c r="K39" s="11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112"/>
      <c r="C40" s="15"/>
      <c r="D40" s="34"/>
      <c r="E40" s="21"/>
      <c r="F40" s="20"/>
      <c r="G40" s="20"/>
      <c r="H40" s="20"/>
      <c r="I40" s="70"/>
      <c r="J40" s="20"/>
      <c r="K40" s="11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112"/>
      <c r="C41" s="15"/>
      <c r="D41" s="34"/>
      <c r="E41" s="21"/>
      <c r="F41" s="20"/>
      <c r="G41" s="20"/>
      <c r="H41" s="20"/>
      <c r="I41" s="70"/>
      <c r="J41" s="20"/>
      <c r="K41" s="11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112"/>
      <c r="C42" s="15"/>
      <c r="D42" s="34"/>
      <c r="E42" s="21"/>
      <c r="F42" s="20"/>
      <c r="G42" s="20"/>
      <c r="H42" s="20"/>
      <c r="I42" s="70"/>
      <c r="J42" s="20"/>
      <c r="K42" s="11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112"/>
      <c r="C43" s="16"/>
      <c r="D43" s="17" t="s">
        <v>19</v>
      </c>
      <c r="E43" s="18"/>
      <c r="F43" s="18"/>
      <c r="G43" s="18"/>
      <c r="H43" s="18"/>
      <c r="I43" s="22">
        <f>SUM(inv_cost)</f>
        <v>99</v>
      </c>
      <c r="J43" s="18"/>
      <c r="K43" s="11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112"/>
      <c r="C44" s="15"/>
      <c r="D44" s="18"/>
      <c r="E44" s="18"/>
      <c r="F44" s="18"/>
      <c r="G44" s="18"/>
      <c r="H44" s="18"/>
      <c r="I44" s="18"/>
      <c r="J44" s="18"/>
      <c r="K44" s="11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113"/>
      <c r="C45" s="110"/>
      <c r="D45" s="110"/>
      <c r="E45" s="110"/>
      <c r="F45" s="110"/>
      <c r="G45" s="110"/>
      <c r="H45" s="110"/>
      <c r="I45" s="110"/>
      <c r="J45" s="110"/>
      <c r="K45" s="11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872E2-B566-4CC6-9F96-BE79541FCEC0}">
  <sheetPr codeName="Sheet8">
    <tabColor theme="4" tint="0.79998168889431442"/>
  </sheetPr>
  <dimension ref="A1:AJ84"/>
  <sheetViews>
    <sheetView zoomScale="90" zoomScaleNormal="90" workbookViewId="0">
      <selection activeCell="J16" sqref="J16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111"/>
      <c r="C4" s="110"/>
      <c r="D4" s="110"/>
      <c r="E4" s="110"/>
      <c r="F4" s="110"/>
      <c r="G4" s="110"/>
      <c r="H4" s="110"/>
      <c r="I4" s="110"/>
      <c r="J4" s="110"/>
      <c r="K4" s="11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112"/>
      <c r="C5" s="15"/>
      <c r="D5" s="15"/>
      <c r="E5" s="15"/>
      <c r="F5" s="15"/>
      <c r="G5" s="15"/>
      <c r="H5" s="15"/>
      <c r="I5" s="15"/>
      <c r="J5" s="15"/>
      <c r="K5" s="11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112"/>
      <c r="C6" s="15"/>
      <c r="D6" s="15"/>
      <c r="E6" s="15"/>
      <c r="F6" s="15"/>
      <c r="G6" s="15"/>
      <c r="H6" s="15"/>
      <c r="I6" s="15"/>
      <c r="J6" s="15"/>
      <c r="K6" s="11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112"/>
      <c r="C7" s="15"/>
      <c r="D7" s="15"/>
      <c r="E7" s="15"/>
      <c r="F7" s="15"/>
      <c r="G7" s="15"/>
      <c r="H7" s="15"/>
      <c r="I7" s="15"/>
      <c r="J7" s="15"/>
      <c r="K7" s="11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112"/>
      <c r="C8" s="15"/>
      <c r="D8" s="15"/>
      <c r="E8" s="15"/>
      <c r="F8" s="15"/>
      <c r="G8" s="15"/>
      <c r="H8" s="15"/>
      <c r="I8" s="15"/>
      <c r="J8" s="15"/>
      <c r="K8" s="11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112"/>
      <c r="C9" s="15"/>
      <c r="D9" s="15"/>
      <c r="E9" s="15"/>
      <c r="F9" s="15"/>
      <c r="G9" s="15"/>
      <c r="H9" s="15"/>
      <c r="I9" s="15"/>
      <c r="J9" s="15"/>
      <c r="K9" s="11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112"/>
      <c r="C10" s="15"/>
      <c r="D10" s="15"/>
      <c r="E10" s="15"/>
      <c r="F10" s="15"/>
      <c r="G10" s="15"/>
      <c r="H10" s="15"/>
      <c r="I10" s="15"/>
      <c r="J10" s="15"/>
      <c r="K10" s="11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112"/>
      <c r="C11" s="15"/>
      <c r="D11" s="15"/>
      <c r="E11" s="15"/>
      <c r="F11" s="15"/>
      <c r="G11" s="15"/>
      <c r="H11" s="15"/>
      <c r="I11" s="15"/>
      <c r="J11" s="15"/>
      <c r="K11" s="11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112"/>
      <c r="C12" s="15"/>
      <c r="D12" s="15"/>
      <c r="E12" s="15"/>
      <c r="F12" s="15"/>
      <c r="G12" s="15"/>
      <c r="H12" s="15"/>
      <c r="I12" s="15"/>
      <c r="J12" s="15"/>
      <c r="K12" s="11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112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41</v>
      </c>
      <c r="K13" s="11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112"/>
      <c r="C14" s="15"/>
      <c r="D14" s="17" t="s">
        <v>85</v>
      </c>
      <c r="E14" s="18"/>
      <c r="F14" s="18"/>
      <c r="G14" s="18"/>
      <c r="H14" s="18"/>
      <c r="I14" s="18"/>
      <c r="J14" s="18"/>
      <c r="K14" s="11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112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11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112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44157</v>
      </c>
      <c r="K16" s="11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112"/>
      <c r="C17" s="15"/>
      <c r="D17" s="18"/>
      <c r="E17" s="18"/>
      <c r="F17" s="18"/>
      <c r="G17" s="18"/>
      <c r="H17" s="18"/>
      <c r="I17" s="18"/>
      <c r="J17" s="18"/>
      <c r="K17" s="11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112"/>
      <c r="C18" s="15"/>
      <c r="D18" s="18"/>
      <c r="E18" s="18"/>
      <c r="F18" s="18"/>
      <c r="G18" s="18"/>
      <c r="H18" s="18"/>
      <c r="I18" s="18"/>
      <c r="J18" s="18"/>
      <c r="K18" s="11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112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11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112"/>
      <c r="C20" s="15"/>
      <c r="D20" s="34" t="s">
        <v>75</v>
      </c>
      <c r="E20" s="21"/>
      <c r="F20" s="20"/>
      <c r="G20" s="20"/>
      <c r="H20" s="20"/>
      <c r="I20" s="70">
        <v>2</v>
      </c>
      <c r="J20" s="20"/>
      <c r="K20" s="11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112"/>
      <c r="C21" s="15"/>
      <c r="D21" s="34" t="s">
        <v>75</v>
      </c>
      <c r="E21" s="21"/>
      <c r="F21" s="20"/>
      <c r="G21" s="20"/>
      <c r="H21" s="20"/>
      <c r="I21" s="70">
        <v>5</v>
      </c>
      <c r="J21" s="20"/>
      <c r="K21" s="11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112"/>
      <c r="C22" s="15"/>
      <c r="D22" s="34" t="s">
        <v>75</v>
      </c>
      <c r="E22" s="21"/>
      <c r="F22" s="20"/>
      <c r="G22" s="20"/>
      <c r="H22" s="20"/>
      <c r="I22" s="70">
        <v>22</v>
      </c>
      <c r="J22" s="20"/>
      <c r="K22" s="11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112"/>
      <c r="C23" s="15"/>
      <c r="D23" s="34" t="s">
        <v>75</v>
      </c>
      <c r="E23" s="21"/>
      <c r="F23" s="20"/>
      <c r="G23" s="20"/>
      <c r="H23" s="20"/>
      <c r="I23" s="70">
        <v>111</v>
      </c>
      <c r="J23" s="20"/>
      <c r="K23" s="11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112"/>
      <c r="C24" s="15"/>
      <c r="D24" s="34" t="s">
        <v>76</v>
      </c>
      <c r="E24" s="20"/>
      <c r="F24" s="20"/>
      <c r="G24" s="20"/>
      <c r="H24" s="20"/>
      <c r="I24" s="70">
        <v>2222</v>
      </c>
      <c r="J24" s="20"/>
      <c r="K24" s="11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112"/>
      <c r="C25" s="15"/>
      <c r="D25" s="34"/>
      <c r="E25" s="20"/>
      <c r="F25" s="20"/>
      <c r="G25" s="20"/>
      <c r="H25" s="20"/>
      <c r="I25" s="70"/>
      <c r="J25" s="20"/>
      <c r="K25" s="11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112"/>
      <c r="C26" s="15"/>
      <c r="D26" s="34"/>
      <c r="E26" s="20"/>
      <c r="F26" s="20"/>
      <c r="G26" s="20"/>
      <c r="H26" s="20"/>
      <c r="I26" s="70"/>
      <c r="J26" s="20"/>
      <c r="K26" s="11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112"/>
      <c r="C27" s="15"/>
      <c r="D27" s="34"/>
      <c r="E27" s="20"/>
      <c r="F27" s="20"/>
      <c r="G27" s="20"/>
      <c r="H27" s="20"/>
      <c r="I27" s="70"/>
      <c r="J27" s="20"/>
      <c r="K27" s="11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112"/>
      <c r="C28" s="15"/>
      <c r="D28" s="34"/>
      <c r="E28" s="20"/>
      <c r="F28" s="20"/>
      <c r="G28" s="20"/>
      <c r="H28" s="20"/>
      <c r="I28" s="70"/>
      <c r="J28" s="20"/>
      <c r="K28" s="11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112"/>
      <c r="C29" s="15"/>
      <c r="D29" s="34"/>
      <c r="E29" s="20"/>
      <c r="F29" s="20"/>
      <c r="G29" s="20"/>
      <c r="H29" s="20"/>
      <c r="I29" s="70"/>
      <c r="J29" s="20"/>
      <c r="K29" s="11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112"/>
      <c r="C30" s="15"/>
      <c r="D30" s="34"/>
      <c r="E30" s="20"/>
      <c r="F30" s="20"/>
      <c r="G30" s="20"/>
      <c r="H30" s="20"/>
      <c r="I30" s="70"/>
      <c r="J30" s="20"/>
      <c r="K30" s="11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112"/>
      <c r="C31" s="15"/>
      <c r="D31" s="34"/>
      <c r="E31" s="21"/>
      <c r="F31" s="20"/>
      <c r="G31" s="20"/>
      <c r="H31" s="20"/>
      <c r="I31" s="70"/>
      <c r="J31" s="20"/>
      <c r="K31" s="11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112"/>
      <c r="C32" s="15"/>
      <c r="D32" s="34"/>
      <c r="E32" s="21"/>
      <c r="F32" s="20"/>
      <c r="G32" s="20"/>
      <c r="H32" s="20"/>
      <c r="I32" s="70"/>
      <c r="J32" s="20"/>
      <c r="K32" s="11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112"/>
      <c r="C33" s="15"/>
      <c r="D33" s="34"/>
      <c r="E33" s="21"/>
      <c r="F33" s="20"/>
      <c r="G33" s="20"/>
      <c r="H33" s="20"/>
      <c r="I33" s="70"/>
      <c r="J33" s="20"/>
      <c r="K33" s="11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112"/>
      <c r="C34" s="15"/>
      <c r="D34" s="34"/>
      <c r="E34" s="21"/>
      <c r="F34" s="20"/>
      <c r="G34" s="20"/>
      <c r="H34" s="20"/>
      <c r="I34" s="70"/>
      <c r="J34" s="20"/>
      <c r="K34" s="11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112"/>
      <c r="C35" s="15"/>
      <c r="D35" s="34"/>
      <c r="E35" s="21"/>
      <c r="F35" s="20"/>
      <c r="G35" s="20"/>
      <c r="H35" s="20"/>
      <c r="I35" s="70"/>
      <c r="J35" s="20"/>
      <c r="K35" s="11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112"/>
      <c r="C36" s="15"/>
      <c r="D36" s="34"/>
      <c r="E36" s="21"/>
      <c r="F36" s="20"/>
      <c r="G36" s="20"/>
      <c r="H36" s="20"/>
      <c r="I36" s="70"/>
      <c r="J36" s="20"/>
      <c r="K36" s="11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112"/>
      <c r="C37" s="15"/>
      <c r="D37" s="34"/>
      <c r="E37" s="21"/>
      <c r="F37" s="20"/>
      <c r="G37" s="20"/>
      <c r="H37" s="20"/>
      <c r="I37" s="70"/>
      <c r="J37" s="20"/>
      <c r="K37" s="11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112"/>
      <c r="C38" s="15"/>
      <c r="D38" s="34"/>
      <c r="E38" s="21"/>
      <c r="F38" s="20"/>
      <c r="G38" s="20"/>
      <c r="H38" s="20"/>
      <c r="I38" s="70"/>
      <c r="J38" s="20"/>
      <c r="K38" s="11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112"/>
      <c r="C39" s="15"/>
      <c r="D39" s="34"/>
      <c r="E39" s="21"/>
      <c r="F39" s="20"/>
      <c r="G39" s="20"/>
      <c r="H39" s="20"/>
      <c r="I39" s="70"/>
      <c r="J39" s="20"/>
      <c r="K39" s="11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112"/>
      <c r="C40" s="15"/>
      <c r="D40" s="34"/>
      <c r="E40" s="21"/>
      <c r="F40" s="20"/>
      <c r="G40" s="20"/>
      <c r="H40" s="20"/>
      <c r="I40" s="70"/>
      <c r="J40" s="20"/>
      <c r="K40" s="11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112"/>
      <c r="C41" s="15"/>
      <c r="D41" s="34"/>
      <c r="E41" s="21"/>
      <c r="F41" s="20"/>
      <c r="G41" s="20"/>
      <c r="H41" s="20"/>
      <c r="I41" s="70"/>
      <c r="J41" s="20"/>
      <c r="K41" s="11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112"/>
      <c r="C42" s="15"/>
      <c r="D42" s="34"/>
      <c r="E42" s="21"/>
      <c r="F42" s="20"/>
      <c r="G42" s="20"/>
      <c r="H42" s="20"/>
      <c r="I42" s="70"/>
      <c r="J42" s="20"/>
      <c r="K42" s="11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112"/>
      <c r="C43" s="16"/>
      <c r="D43" s="17" t="s">
        <v>19</v>
      </c>
      <c r="E43" s="18"/>
      <c r="F43" s="18"/>
      <c r="G43" s="18"/>
      <c r="H43" s="18"/>
      <c r="I43" s="22">
        <f>SUM(inv_cost)</f>
        <v>2362</v>
      </c>
      <c r="J43" s="18"/>
      <c r="K43" s="11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112"/>
      <c r="C44" s="15"/>
      <c r="D44" s="18"/>
      <c r="E44" s="18"/>
      <c r="F44" s="18"/>
      <c r="G44" s="18"/>
      <c r="H44" s="18"/>
      <c r="I44" s="18"/>
      <c r="J44" s="18"/>
      <c r="K44" s="11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113"/>
      <c r="C45" s="110"/>
      <c r="D45" s="110"/>
      <c r="E45" s="110"/>
      <c r="F45" s="110"/>
      <c r="G45" s="110"/>
      <c r="H45" s="110"/>
      <c r="I45" s="110"/>
      <c r="J45" s="110"/>
      <c r="K45" s="11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C0B58-C0DA-45C5-B89D-2324AC3A2D43}">
  <sheetPr codeName="Sheet9">
    <tabColor theme="4" tint="0.79998168889431442"/>
  </sheetPr>
  <dimension ref="A1:AJ84"/>
  <sheetViews>
    <sheetView zoomScale="90" zoomScaleNormal="90" workbookViewId="0">
      <selection activeCell="J16" sqref="J16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111"/>
      <c r="C4" s="110"/>
      <c r="D4" s="110"/>
      <c r="E4" s="110"/>
      <c r="F4" s="110"/>
      <c r="G4" s="110"/>
      <c r="H4" s="110"/>
      <c r="I4" s="110"/>
      <c r="J4" s="110"/>
      <c r="K4" s="11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112"/>
      <c r="C5" s="15"/>
      <c r="D5" s="15"/>
      <c r="E5" s="15"/>
      <c r="F5" s="15"/>
      <c r="G5" s="15"/>
      <c r="H5" s="15"/>
      <c r="I5" s="15"/>
      <c r="J5" s="15"/>
      <c r="K5" s="11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112"/>
      <c r="C6" s="15"/>
      <c r="D6" s="15"/>
      <c r="E6" s="15"/>
      <c r="F6" s="15"/>
      <c r="G6" s="15"/>
      <c r="H6" s="15"/>
      <c r="I6" s="15"/>
      <c r="J6" s="15"/>
      <c r="K6" s="11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112"/>
      <c r="C7" s="15"/>
      <c r="D7" s="15"/>
      <c r="E7" s="15"/>
      <c r="F7" s="15"/>
      <c r="G7" s="15"/>
      <c r="H7" s="15"/>
      <c r="I7" s="15"/>
      <c r="J7" s="15"/>
      <c r="K7" s="11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112"/>
      <c r="C8" s="15"/>
      <c r="D8" s="15"/>
      <c r="E8" s="15"/>
      <c r="F8" s="15"/>
      <c r="G8" s="15"/>
      <c r="H8" s="15"/>
      <c r="I8" s="15"/>
      <c r="J8" s="15"/>
      <c r="K8" s="11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112"/>
      <c r="C9" s="15"/>
      <c r="D9" s="15"/>
      <c r="E9" s="15"/>
      <c r="F9" s="15"/>
      <c r="G9" s="15"/>
      <c r="H9" s="15"/>
      <c r="I9" s="15"/>
      <c r="J9" s="15"/>
      <c r="K9" s="11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112"/>
      <c r="C10" s="15"/>
      <c r="D10" s="15"/>
      <c r="E10" s="15"/>
      <c r="F10" s="15"/>
      <c r="G10" s="15"/>
      <c r="H10" s="15"/>
      <c r="I10" s="15"/>
      <c r="J10" s="15"/>
      <c r="K10" s="11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112"/>
      <c r="C11" s="15"/>
      <c r="D11" s="15"/>
      <c r="E11" s="15"/>
      <c r="F11" s="15"/>
      <c r="G11" s="15"/>
      <c r="H11" s="15"/>
      <c r="I11" s="15"/>
      <c r="J11" s="15"/>
      <c r="K11" s="11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112"/>
      <c r="C12" s="15"/>
      <c r="D12" s="15"/>
      <c r="E12" s="15"/>
      <c r="F12" s="15"/>
      <c r="G12" s="15"/>
      <c r="H12" s="15"/>
      <c r="I12" s="15"/>
      <c r="J12" s="15"/>
      <c r="K12" s="11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112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42</v>
      </c>
      <c r="K13" s="11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112"/>
      <c r="C14" s="15"/>
      <c r="D14" s="17" t="s">
        <v>86</v>
      </c>
      <c r="E14" s="18"/>
      <c r="F14" s="18"/>
      <c r="G14" s="18"/>
      <c r="H14" s="18"/>
      <c r="I14" s="18"/>
      <c r="J14" s="18"/>
      <c r="K14" s="11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112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11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112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44194</v>
      </c>
      <c r="K16" s="11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112"/>
      <c r="C17" s="15"/>
      <c r="D17" s="18"/>
      <c r="E17" s="18"/>
      <c r="F17" s="18"/>
      <c r="G17" s="18"/>
      <c r="H17" s="18"/>
      <c r="I17" s="18"/>
      <c r="J17" s="18"/>
      <c r="K17" s="11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112"/>
      <c r="C18" s="15"/>
      <c r="D18" s="18"/>
      <c r="E18" s="18"/>
      <c r="F18" s="18"/>
      <c r="G18" s="18"/>
      <c r="H18" s="18"/>
      <c r="I18" s="18"/>
      <c r="J18" s="18"/>
      <c r="K18" s="11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112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11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112"/>
      <c r="C20" s="15"/>
      <c r="D20" s="34" t="s">
        <v>72</v>
      </c>
      <c r="E20" s="21"/>
      <c r="F20" s="20"/>
      <c r="G20" s="20"/>
      <c r="H20" s="20"/>
      <c r="I20" s="70">
        <v>11</v>
      </c>
      <c r="J20" s="20"/>
      <c r="K20" s="11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112"/>
      <c r="C21" s="15"/>
      <c r="D21" s="34"/>
      <c r="E21" s="21"/>
      <c r="F21" s="20"/>
      <c r="G21" s="20"/>
      <c r="H21" s="20"/>
      <c r="I21" s="70"/>
      <c r="J21" s="20"/>
      <c r="K21" s="11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112"/>
      <c r="C22" s="15"/>
      <c r="D22" s="34"/>
      <c r="E22" s="21"/>
      <c r="F22" s="20"/>
      <c r="G22" s="20"/>
      <c r="H22" s="20"/>
      <c r="I22" s="70"/>
      <c r="J22" s="20"/>
      <c r="K22" s="11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112"/>
      <c r="C23" s="15"/>
      <c r="D23" s="34"/>
      <c r="E23" s="21"/>
      <c r="F23" s="20"/>
      <c r="G23" s="20"/>
      <c r="H23" s="20"/>
      <c r="I23" s="70"/>
      <c r="J23" s="20"/>
      <c r="K23" s="11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112"/>
      <c r="C24" s="15"/>
      <c r="D24" s="34"/>
      <c r="E24" s="20"/>
      <c r="F24" s="20"/>
      <c r="G24" s="20"/>
      <c r="H24" s="20"/>
      <c r="I24" s="70"/>
      <c r="J24" s="20"/>
      <c r="K24" s="11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112"/>
      <c r="C25" s="15"/>
      <c r="D25" s="34"/>
      <c r="E25" s="20"/>
      <c r="F25" s="20"/>
      <c r="G25" s="20"/>
      <c r="H25" s="20"/>
      <c r="I25" s="70"/>
      <c r="J25" s="20"/>
      <c r="K25" s="11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112"/>
      <c r="C26" s="15"/>
      <c r="D26" s="34"/>
      <c r="E26" s="20"/>
      <c r="F26" s="20"/>
      <c r="G26" s="20"/>
      <c r="H26" s="20"/>
      <c r="I26" s="70"/>
      <c r="J26" s="20"/>
      <c r="K26" s="11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112"/>
      <c r="C27" s="15"/>
      <c r="D27" s="34"/>
      <c r="E27" s="20"/>
      <c r="F27" s="20"/>
      <c r="G27" s="20"/>
      <c r="H27" s="20"/>
      <c r="I27" s="70"/>
      <c r="J27" s="20"/>
      <c r="K27" s="11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112"/>
      <c r="C28" s="15"/>
      <c r="D28" s="34"/>
      <c r="E28" s="20"/>
      <c r="F28" s="20"/>
      <c r="G28" s="20"/>
      <c r="H28" s="20"/>
      <c r="I28" s="70"/>
      <c r="J28" s="20"/>
      <c r="K28" s="11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112"/>
      <c r="C29" s="15"/>
      <c r="D29" s="34"/>
      <c r="E29" s="20"/>
      <c r="F29" s="20"/>
      <c r="G29" s="20"/>
      <c r="H29" s="20"/>
      <c r="I29" s="70"/>
      <c r="J29" s="20"/>
      <c r="K29" s="11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112"/>
      <c r="C30" s="15"/>
      <c r="D30" s="34"/>
      <c r="E30" s="20"/>
      <c r="F30" s="20"/>
      <c r="G30" s="20"/>
      <c r="H30" s="20"/>
      <c r="I30" s="70"/>
      <c r="J30" s="20"/>
      <c r="K30" s="11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112"/>
      <c r="C31" s="15"/>
      <c r="D31" s="34"/>
      <c r="E31" s="21"/>
      <c r="F31" s="20"/>
      <c r="G31" s="20"/>
      <c r="H31" s="20"/>
      <c r="I31" s="70"/>
      <c r="J31" s="20"/>
      <c r="K31" s="11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112"/>
      <c r="C32" s="15"/>
      <c r="D32" s="34"/>
      <c r="E32" s="21"/>
      <c r="F32" s="20"/>
      <c r="G32" s="20"/>
      <c r="H32" s="20"/>
      <c r="I32" s="70"/>
      <c r="J32" s="20"/>
      <c r="K32" s="11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112"/>
      <c r="C33" s="15"/>
      <c r="D33" s="34"/>
      <c r="E33" s="21"/>
      <c r="F33" s="20"/>
      <c r="G33" s="20"/>
      <c r="H33" s="20"/>
      <c r="I33" s="70"/>
      <c r="J33" s="20"/>
      <c r="K33" s="11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112"/>
      <c r="C34" s="15"/>
      <c r="D34" s="34"/>
      <c r="E34" s="21"/>
      <c r="F34" s="20"/>
      <c r="G34" s="20"/>
      <c r="H34" s="20"/>
      <c r="I34" s="70"/>
      <c r="J34" s="20"/>
      <c r="K34" s="11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112"/>
      <c r="C35" s="15"/>
      <c r="D35" s="34"/>
      <c r="E35" s="21"/>
      <c r="F35" s="20"/>
      <c r="G35" s="20"/>
      <c r="H35" s="20"/>
      <c r="I35" s="70"/>
      <c r="J35" s="20"/>
      <c r="K35" s="11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112"/>
      <c r="C36" s="15"/>
      <c r="D36" s="34"/>
      <c r="E36" s="21"/>
      <c r="F36" s="20"/>
      <c r="G36" s="20"/>
      <c r="H36" s="20"/>
      <c r="I36" s="70"/>
      <c r="J36" s="20"/>
      <c r="K36" s="11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112"/>
      <c r="C37" s="15"/>
      <c r="D37" s="34"/>
      <c r="E37" s="21"/>
      <c r="F37" s="20"/>
      <c r="G37" s="20"/>
      <c r="H37" s="20"/>
      <c r="I37" s="70"/>
      <c r="J37" s="20"/>
      <c r="K37" s="11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112"/>
      <c r="C38" s="15"/>
      <c r="D38" s="34"/>
      <c r="E38" s="21"/>
      <c r="F38" s="20"/>
      <c r="G38" s="20"/>
      <c r="H38" s="20"/>
      <c r="I38" s="70"/>
      <c r="J38" s="20"/>
      <c r="K38" s="11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112"/>
      <c r="C39" s="15"/>
      <c r="D39" s="34"/>
      <c r="E39" s="21"/>
      <c r="F39" s="20"/>
      <c r="G39" s="20"/>
      <c r="H39" s="20"/>
      <c r="I39" s="70"/>
      <c r="J39" s="20"/>
      <c r="K39" s="11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112"/>
      <c r="C40" s="15"/>
      <c r="D40" s="34"/>
      <c r="E40" s="21"/>
      <c r="F40" s="20"/>
      <c r="G40" s="20"/>
      <c r="H40" s="20"/>
      <c r="I40" s="70"/>
      <c r="J40" s="20"/>
      <c r="K40" s="11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112"/>
      <c r="C41" s="15"/>
      <c r="D41" s="34"/>
      <c r="E41" s="21"/>
      <c r="F41" s="20"/>
      <c r="G41" s="20"/>
      <c r="H41" s="20"/>
      <c r="I41" s="70"/>
      <c r="J41" s="20"/>
      <c r="K41" s="11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112"/>
      <c r="C42" s="15"/>
      <c r="D42" s="34"/>
      <c r="E42" s="21"/>
      <c r="F42" s="20"/>
      <c r="G42" s="20"/>
      <c r="H42" s="20"/>
      <c r="I42" s="70"/>
      <c r="J42" s="20"/>
      <c r="K42" s="11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112"/>
      <c r="C43" s="16"/>
      <c r="D43" s="17" t="s">
        <v>19</v>
      </c>
      <c r="E43" s="18"/>
      <c r="F43" s="18"/>
      <c r="G43" s="18"/>
      <c r="H43" s="18"/>
      <c r="I43" s="22">
        <f>SUM(inv_cost)</f>
        <v>11</v>
      </c>
      <c r="J43" s="18"/>
      <c r="K43" s="11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112"/>
      <c r="C44" s="15"/>
      <c r="D44" s="18"/>
      <c r="E44" s="18"/>
      <c r="F44" s="18"/>
      <c r="G44" s="18"/>
      <c r="H44" s="18"/>
      <c r="I44" s="18"/>
      <c r="J44" s="18"/>
      <c r="K44" s="11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113"/>
      <c r="C45" s="110"/>
      <c r="D45" s="110"/>
      <c r="E45" s="110"/>
      <c r="F45" s="110"/>
      <c r="G45" s="110"/>
      <c r="H45" s="110"/>
      <c r="I45" s="110"/>
      <c r="J45" s="110"/>
      <c r="K45" s="11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FAD4-291B-4953-AB0B-2E0951E5F753}">
  <sheetPr codeName="Sheet1"/>
  <dimension ref="A1:AR155"/>
  <sheetViews>
    <sheetView showGridLines="0" zoomScale="90" zoomScaleNormal="90" workbookViewId="0">
      <pane ySplit="25" topLeftCell="A26" activePane="bottomLeft" state="frozen"/>
      <selection pane="bottomLeft" activeCell="D13" sqref="D13"/>
    </sheetView>
  </sheetViews>
  <sheetFormatPr defaultRowHeight="14.25" customHeight="1" x14ac:dyDescent="0.25"/>
  <cols>
    <col min="1" max="1" width="43.85546875" customWidth="1"/>
    <col min="2" max="2" width="14.7109375" customWidth="1"/>
    <col min="3" max="3" width="11" hidden="1" customWidth="1"/>
    <col min="4" max="4" width="16.28515625" customWidth="1"/>
    <col min="5" max="6" width="11" hidden="1" customWidth="1"/>
    <col min="7" max="7" width="15.5703125" bestFit="1" customWidth="1"/>
    <col min="8" max="8" width="16.42578125" bestFit="1" customWidth="1"/>
    <col min="9" max="9" width="12.5703125" customWidth="1"/>
    <col min="10" max="10" width="14.85546875" bestFit="1" customWidth="1"/>
    <col min="11" max="11" width="14.85546875" customWidth="1"/>
    <col min="12" max="12" width="14.28515625" customWidth="1"/>
    <col min="13" max="13" width="11" customWidth="1"/>
    <col min="14" max="14" width="14.85546875" bestFit="1" customWidth="1"/>
    <col min="15" max="15" width="11" customWidth="1"/>
    <col min="16" max="16" width="15.42578125" customWidth="1"/>
    <col min="17" max="17" width="10" customWidth="1"/>
    <col min="18" max="19" width="9.85546875" style="2" customWidth="1"/>
    <col min="20" max="20" width="9.28515625" style="2" bestFit="1" customWidth="1"/>
    <col min="21" max="21" width="14.140625" style="2" customWidth="1"/>
    <col min="22" max="22" width="9.7109375" style="2" customWidth="1"/>
    <col min="23" max="23" width="10.28515625" bestFit="1" customWidth="1"/>
    <col min="24" max="28" width="9.140625" style="2"/>
    <col min="257" max="257" width="33.28515625" customWidth="1"/>
    <col min="258" max="258" width="13" customWidth="1"/>
    <col min="259" max="260" width="9.28515625" bestFit="1" customWidth="1"/>
    <col min="261" max="261" width="11.7109375" customWidth="1"/>
    <col min="262" max="262" width="9.85546875" bestFit="1" customWidth="1"/>
    <col min="263" max="263" width="11.7109375" customWidth="1"/>
    <col min="264" max="264" width="10.42578125" customWidth="1"/>
    <col min="265" max="265" width="9.28515625" bestFit="1" customWidth="1"/>
    <col min="266" max="266" width="9.85546875" bestFit="1" customWidth="1"/>
    <col min="267" max="267" width="11.28515625" customWidth="1"/>
    <col min="268" max="275" width="9.85546875" customWidth="1"/>
    <col min="276" max="276" width="9.28515625" bestFit="1" customWidth="1"/>
    <col min="277" max="277" width="13.5703125" customWidth="1"/>
    <col min="278" max="278" width="9.7109375" customWidth="1"/>
    <col min="279" max="279" width="10.28515625" bestFit="1" customWidth="1"/>
    <col min="513" max="513" width="33.28515625" customWidth="1"/>
    <col min="514" max="514" width="13" customWidth="1"/>
    <col min="515" max="516" width="9.28515625" bestFit="1" customWidth="1"/>
    <col min="517" max="517" width="11.7109375" customWidth="1"/>
    <col min="518" max="518" width="9.85546875" bestFit="1" customWidth="1"/>
    <col min="519" max="519" width="11.7109375" customWidth="1"/>
    <col min="520" max="520" width="10.42578125" customWidth="1"/>
    <col min="521" max="521" width="9.28515625" bestFit="1" customWidth="1"/>
    <col min="522" max="522" width="9.85546875" bestFit="1" customWidth="1"/>
    <col min="523" max="523" width="11.28515625" customWidth="1"/>
    <col min="524" max="531" width="9.85546875" customWidth="1"/>
    <col min="532" max="532" width="9.28515625" bestFit="1" customWidth="1"/>
    <col min="533" max="533" width="13.5703125" customWidth="1"/>
    <col min="534" max="534" width="9.7109375" customWidth="1"/>
    <col min="535" max="535" width="10.28515625" bestFit="1" customWidth="1"/>
    <col min="769" max="769" width="33.28515625" customWidth="1"/>
    <col min="770" max="770" width="13" customWidth="1"/>
    <col min="771" max="772" width="9.28515625" bestFit="1" customWidth="1"/>
    <col min="773" max="773" width="11.7109375" customWidth="1"/>
    <col min="774" max="774" width="9.85546875" bestFit="1" customWidth="1"/>
    <col min="775" max="775" width="11.7109375" customWidth="1"/>
    <col min="776" max="776" width="10.42578125" customWidth="1"/>
    <col min="777" max="777" width="9.28515625" bestFit="1" customWidth="1"/>
    <col min="778" max="778" width="9.85546875" bestFit="1" customWidth="1"/>
    <col min="779" max="779" width="11.28515625" customWidth="1"/>
    <col min="780" max="787" width="9.85546875" customWidth="1"/>
    <col min="788" max="788" width="9.28515625" bestFit="1" customWidth="1"/>
    <col min="789" max="789" width="13.5703125" customWidth="1"/>
    <col min="790" max="790" width="9.7109375" customWidth="1"/>
    <col min="791" max="791" width="10.28515625" bestFit="1" customWidth="1"/>
    <col min="1025" max="1025" width="33.28515625" customWidth="1"/>
    <col min="1026" max="1026" width="13" customWidth="1"/>
    <col min="1027" max="1028" width="9.28515625" bestFit="1" customWidth="1"/>
    <col min="1029" max="1029" width="11.7109375" customWidth="1"/>
    <col min="1030" max="1030" width="9.85546875" bestFit="1" customWidth="1"/>
    <col min="1031" max="1031" width="11.7109375" customWidth="1"/>
    <col min="1032" max="1032" width="10.42578125" customWidth="1"/>
    <col min="1033" max="1033" width="9.28515625" bestFit="1" customWidth="1"/>
    <col min="1034" max="1034" width="9.85546875" bestFit="1" customWidth="1"/>
    <col min="1035" max="1035" width="11.28515625" customWidth="1"/>
    <col min="1036" max="1043" width="9.85546875" customWidth="1"/>
    <col min="1044" max="1044" width="9.28515625" bestFit="1" customWidth="1"/>
    <col min="1045" max="1045" width="13.5703125" customWidth="1"/>
    <col min="1046" max="1046" width="9.7109375" customWidth="1"/>
    <col min="1047" max="1047" width="10.28515625" bestFit="1" customWidth="1"/>
    <col min="1281" max="1281" width="33.28515625" customWidth="1"/>
    <col min="1282" max="1282" width="13" customWidth="1"/>
    <col min="1283" max="1284" width="9.28515625" bestFit="1" customWidth="1"/>
    <col min="1285" max="1285" width="11.7109375" customWidth="1"/>
    <col min="1286" max="1286" width="9.85546875" bestFit="1" customWidth="1"/>
    <col min="1287" max="1287" width="11.7109375" customWidth="1"/>
    <col min="1288" max="1288" width="10.42578125" customWidth="1"/>
    <col min="1289" max="1289" width="9.28515625" bestFit="1" customWidth="1"/>
    <col min="1290" max="1290" width="9.85546875" bestFit="1" customWidth="1"/>
    <col min="1291" max="1291" width="11.28515625" customWidth="1"/>
    <col min="1292" max="1299" width="9.85546875" customWidth="1"/>
    <col min="1300" max="1300" width="9.28515625" bestFit="1" customWidth="1"/>
    <col min="1301" max="1301" width="13.5703125" customWidth="1"/>
    <col min="1302" max="1302" width="9.7109375" customWidth="1"/>
    <col min="1303" max="1303" width="10.28515625" bestFit="1" customWidth="1"/>
    <col min="1537" max="1537" width="33.28515625" customWidth="1"/>
    <col min="1538" max="1538" width="13" customWidth="1"/>
    <col min="1539" max="1540" width="9.28515625" bestFit="1" customWidth="1"/>
    <col min="1541" max="1541" width="11.7109375" customWidth="1"/>
    <col min="1542" max="1542" width="9.85546875" bestFit="1" customWidth="1"/>
    <col min="1543" max="1543" width="11.7109375" customWidth="1"/>
    <col min="1544" max="1544" width="10.42578125" customWidth="1"/>
    <col min="1545" max="1545" width="9.28515625" bestFit="1" customWidth="1"/>
    <col min="1546" max="1546" width="9.85546875" bestFit="1" customWidth="1"/>
    <col min="1547" max="1547" width="11.28515625" customWidth="1"/>
    <col min="1548" max="1555" width="9.85546875" customWidth="1"/>
    <col min="1556" max="1556" width="9.28515625" bestFit="1" customWidth="1"/>
    <col min="1557" max="1557" width="13.5703125" customWidth="1"/>
    <col min="1558" max="1558" width="9.7109375" customWidth="1"/>
    <col min="1559" max="1559" width="10.28515625" bestFit="1" customWidth="1"/>
    <col min="1793" max="1793" width="33.28515625" customWidth="1"/>
    <col min="1794" max="1794" width="13" customWidth="1"/>
    <col min="1795" max="1796" width="9.28515625" bestFit="1" customWidth="1"/>
    <col min="1797" max="1797" width="11.7109375" customWidth="1"/>
    <col min="1798" max="1798" width="9.85546875" bestFit="1" customWidth="1"/>
    <col min="1799" max="1799" width="11.7109375" customWidth="1"/>
    <col min="1800" max="1800" width="10.42578125" customWidth="1"/>
    <col min="1801" max="1801" width="9.28515625" bestFit="1" customWidth="1"/>
    <col min="1802" max="1802" width="9.85546875" bestFit="1" customWidth="1"/>
    <col min="1803" max="1803" width="11.28515625" customWidth="1"/>
    <col min="1804" max="1811" width="9.85546875" customWidth="1"/>
    <col min="1812" max="1812" width="9.28515625" bestFit="1" customWidth="1"/>
    <col min="1813" max="1813" width="13.5703125" customWidth="1"/>
    <col min="1814" max="1814" width="9.7109375" customWidth="1"/>
    <col min="1815" max="1815" width="10.28515625" bestFit="1" customWidth="1"/>
    <col min="2049" max="2049" width="33.28515625" customWidth="1"/>
    <col min="2050" max="2050" width="13" customWidth="1"/>
    <col min="2051" max="2052" width="9.28515625" bestFit="1" customWidth="1"/>
    <col min="2053" max="2053" width="11.7109375" customWidth="1"/>
    <col min="2054" max="2054" width="9.85546875" bestFit="1" customWidth="1"/>
    <col min="2055" max="2055" width="11.7109375" customWidth="1"/>
    <col min="2056" max="2056" width="10.42578125" customWidth="1"/>
    <col min="2057" max="2057" width="9.28515625" bestFit="1" customWidth="1"/>
    <col min="2058" max="2058" width="9.85546875" bestFit="1" customWidth="1"/>
    <col min="2059" max="2059" width="11.28515625" customWidth="1"/>
    <col min="2060" max="2067" width="9.85546875" customWidth="1"/>
    <col min="2068" max="2068" width="9.28515625" bestFit="1" customWidth="1"/>
    <col min="2069" max="2069" width="13.5703125" customWidth="1"/>
    <col min="2070" max="2070" width="9.7109375" customWidth="1"/>
    <col min="2071" max="2071" width="10.28515625" bestFit="1" customWidth="1"/>
    <col min="2305" max="2305" width="33.28515625" customWidth="1"/>
    <col min="2306" max="2306" width="13" customWidth="1"/>
    <col min="2307" max="2308" width="9.28515625" bestFit="1" customWidth="1"/>
    <col min="2309" max="2309" width="11.7109375" customWidth="1"/>
    <col min="2310" max="2310" width="9.85546875" bestFit="1" customWidth="1"/>
    <col min="2311" max="2311" width="11.7109375" customWidth="1"/>
    <col min="2312" max="2312" width="10.42578125" customWidth="1"/>
    <col min="2313" max="2313" width="9.28515625" bestFit="1" customWidth="1"/>
    <col min="2314" max="2314" width="9.85546875" bestFit="1" customWidth="1"/>
    <col min="2315" max="2315" width="11.28515625" customWidth="1"/>
    <col min="2316" max="2323" width="9.85546875" customWidth="1"/>
    <col min="2324" max="2324" width="9.28515625" bestFit="1" customWidth="1"/>
    <col min="2325" max="2325" width="13.5703125" customWidth="1"/>
    <col min="2326" max="2326" width="9.7109375" customWidth="1"/>
    <col min="2327" max="2327" width="10.28515625" bestFit="1" customWidth="1"/>
    <col min="2561" max="2561" width="33.28515625" customWidth="1"/>
    <col min="2562" max="2562" width="13" customWidth="1"/>
    <col min="2563" max="2564" width="9.28515625" bestFit="1" customWidth="1"/>
    <col min="2565" max="2565" width="11.7109375" customWidth="1"/>
    <col min="2566" max="2566" width="9.85546875" bestFit="1" customWidth="1"/>
    <col min="2567" max="2567" width="11.7109375" customWidth="1"/>
    <col min="2568" max="2568" width="10.42578125" customWidth="1"/>
    <col min="2569" max="2569" width="9.28515625" bestFit="1" customWidth="1"/>
    <col min="2570" max="2570" width="9.85546875" bestFit="1" customWidth="1"/>
    <col min="2571" max="2571" width="11.28515625" customWidth="1"/>
    <col min="2572" max="2579" width="9.85546875" customWidth="1"/>
    <col min="2580" max="2580" width="9.28515625" bestFit="1" customWidth="1"/>
    <col min="2581" max="2581" width="13.5703125" customWidth="1"/>
    <col min="2582" max="2582" width="9.7109375" customWidth="1"/>
    <col min="2583" max="2583" width="10.28515625" bestFit="1" customWidth="1"/>
    <col min="2817" max="2817" width="33.28515625" customWidth="1"/>
    <col min="2818" max="2818" width="13" customWidth="1"/>
    <col min="2819" max="2820" width="9.28515625" bestFit="1" customWidth="1"/>
    <col min="2821" max="2821" width="11.7109375" customWidth="1"/>
    <col min="2822" max="2822" width="9.85546875" bestFit="1" customWidth="1"/>
    <col min="2823" max="2823" width="11.7109375" customWidth="1"/>
    <col min="2824" max="2824" width="10.42578125" customWidth="1"/>
    <col min="2825" max="2825" width="9.28515625" bestFit="1" customWidth="1"/>
    <col min="2826" max="2826" width="9.85546875" bestFit="1" customWidth="1"/>
    <col min="2827" max="2827" width="11.28515625" customWidth="1"/>
    <col min="2828" max="2835" width="9.85546875" customWidth="1"/>
    <col min="2836" max="2836" width="9.28515625" bestFit="1" customWidth="1"/>
    <col min="2837" max="2837" width="13.5703125" customWidth="1"/>
    <col min="2838" max="2838" width="9.7109375" customWidth="1"/>
    <col min="2839" max="2839" width="10.28515625" bestFit="1" customWidth="1"/>
    <col min="3073" max="3073" width="33.28515625" customWidth="1"/>
    <col min="3074" max="3074" width="13" customWidth="1"/>
    <col min="3075" max="3076" width="9.28515625" bestFit="1" customWidth="1"/>
    <col min="3077" max="3077" width="11.7109375" customWidth="1"/>
    <col min="3078" max="3078" width="9.85546875" bestFit="1" customWidth="1"/>
    <col min="3079" max="3079" width="11.7109375" customWidth="1"/>
    <col min="3080" max="3080" width="10.42578125" customWidth="1"/>
    <col min="3081" max="3081" width="9.28515625" bestFit="1" customWidth="1"/>
    <col min="3082" max="3082" width="9.85546875" bestFit="1" customWidth="1"/>
    <col min="3083" max="3083" width="11.28515625" customWidth="1"/>
    <col min="3084" max="3091" width="9.85546875" customWidth="1"/>
    <col min="3092" max="3092" width="9.28515625" bestFit="1" customWidth="1"/>
    <col min="3093" max="3093" width="13.5703125" customWidth="1"/>
    <col min="3094" max="3094" width="9.7109375" customWidth="1"/>
    <col min="3095" max="3095" width="10.28515625" bestFit="1" customWidth="1"/>
    <col min="3329" max="3329" width="33.28515625" customWidth="1"/>
    <col min="3330" max="3330" width="13" customWidth="1"/>
    <col min="3331" max="3332" width="9.28515625" bestFit="1" customWidth="1"/>
    <col min="3333" max="3333" width="11.7109375" customWidth="1"/>
    <col min="3334" max="3334" width="9.85546875" bestFit="1" customWidth="1"/>
    <col min="3335" max="3335" width="11.7109375" customWidth="1"/>
    <col min="3336" max="3336" width="10.42578125" customWidth="1"/>
    <col min="3337" max="3337" width="9.28515625" bestFit="1" customWidth="1"/>
    <col min="3338" max="3338" width="9.85546875" bestFit="1" customWidth="1"/>
    <col min="3339" max="3339" width="11.28515625" customWidth="1"/>
    <col min="3340" max="3347" width="9.85546875" customWidth="1"/>
    <col min="3348" max="3348" width="9.28515625" bestFit="1" customWidth="1"/>
    <col min="3349" max="3349" width="13.5703125" customWidth="1"/>
    <col min="3350" max="3350" width="9.7109375" customWidth="1"/>
    <col min="3351" max="3351" width="10.28515625" bestFit="1" customWidth="1"/>
    <col min="3585" max="3585" width="33.28515625" customWidth="1"/>
    <col min="3586" max="3586" width="13" customWidth="1"/>
    <col min="3587" max="3588" width="9.28515625" bestFit="1" customWidth="1"/>
    <col min="3589" max="3589" width="11.7109375" customWidth="1"/>
    <col min="3590" max="3590" width="9.85546875" bestFit="1" customWidth="1"/>
    <col min="3591" max="3591" width="11.7109375" customWidth="1"/>
    <col min="3592" max="3592" width="10.42578125" customWidth="1"/>
    <col min="3593" max="3593" width="9.28515625" bestFit="1" customWidth="1"/>
    <col min="3594" max="3594" width="9.85546875" bestFit="1" customWidth="1"/>
    <col min="3595" max="3595" width="11.28515625" customWidth="1"/>
    <col min="3596" max="3603" width="9.85546875" customWidth="1"/>
    <col min="3604" max="3604" width="9.28515625" bestFit="1" customWidth="1"/>
    <col min="3605" max="3605" width="13.5703125" customWidth="1"/>
    <col min="3606" max="3606" width="9.7109375" customWidth="1"/>
    <col min="3607" max="3607" width="10.28515625" bestFit="1" customWidth="1"/>
    <col min="3841" max="3841" width="33.28515625" customWidth="1"/>
    <col min="3842" max="3842" width="13" customWidth="1"/>
    <col min="3843" max="3844" width="9.28515625" bestFit="1" customWidth="1"/>
    <col min="3845" max="3845" width="11.7109375" customWidth="1"/>
    <col min="3846" max="3846" width="9.85546875" bestFit="1" customWidth="1"/>
    <col min="3847" max="3847" width="11.7109375" customWidth="1"/>
    <col min="3848" max="3848" width="10.42578125" customWidth="1"/>
    <col min="3849" max="3849" width="9.28515625" bestFit="1" customWidth="1"/>
    <col min="3850" max="3850" width="9.85546875" bestFit="1" customWidth="1"/>
    <col min="3851" max="3851" width="11.28515625" customWidth="1"/>
    <col min="3852" max="3859" width="9.85546875" customWidth="1"/>
    <col min="3860" max="3860" width="9.28515625" bestFit="1" customWidth="1"/>
    <col min="3861" max="3861" width="13.5703125" customWidth="1"/>
    <col min="3862" max="3862" width="9.7109375" customWidth="1"/>
    <col min="3863" max="3863" width="10.28515625" bestFit="1" customWidth="1"/>
    <col min="4097" max="4097" width="33.28515625" customWidth="1"/>
    <col min="4098" max="4098" width="13" customWidth="1"/>
    <col min="4099" max="4100" width="9.28515625" bestFit="1" customWidth="1"/>
    <col min="4101" max="4101" width="11.7109375" customWidth="1"/>
    <col min="4102" max="4102" width="9.85546875" bestFit="1" customWidth="1"/>
    <col min="4103" max="4103" width="11.7109375" customWidth="1"/>
    <col min="4104" max="4104" width="10.42578125" customWidth="1"/>
    <col min="4105" max="4105" width="9.28515625" bestFit="1" customWidth="1"/>
    <col min="4106" max="4106" width="9.85546875" bestFit="1" customWidth="1"/>
    <col min="4107" max="4107" width="11.28515625" customWidth="1"/>
    <col min="4108" max="4115" width="9.85546875" customWidth="1"/>
    <col min="4116" max="4116" width="9.28515625" bestFit="1" customWidth="1"/>
    <col min="4117" max="4117" width="13.5703125" customWidth="1"/>
    <col min="4118" max="4118" width="9.7109375" customWidth="1"/>
    <col min="4119" max="4119" width="10.28515625" bestFit="1" customWidth="1"/>
    <col min="4353" max="4353" width="33.28515625" customWidth="1"/>
    <col min="4354" max="4354" width="13" customWidth="1"/>
    <col min="4355" max="4356" width="9.28515625" bestFit="1" customWidth="1"/>
    <col min="4357" max="4357" width="11.7109375" customWidth="1"/>
    <col min="4358" max="4358" width="9.85546875" bestFit="1" customWidth="1"/>
    <col min="4359" max="4359" width="11.7109375" customWidth="1"/>
    <col min="4360" max="4360" width="10.42578125" customWidth="1"/>
    <col min="4361" max="4361" width="9.28515625" bestFit="1" customWidth="1"/>
    <col min="4362" max="4362" width="9.85546875" bestFit="1" customWidth="1"/>
    <col min="4363" max="4363" width="11.28515625" customWidth="1"/>
    <col min="4364" max="4371" width="9.85546875" customWidth="1"/>
    <col min="4372" max="4372" width="9.28515625" bestFit="1" customWidth="1"/>
    <col min="4373" max="4373" width="13.5703125" customWidth="1"/>
    <col min="4374" max="4374" width="9.7109375" customWidth="1"/>
    <col min="4375" max="4375" width="10.28515625" bestFit="1" customWidth="1"/>
    <col min="4609" max="4609" width="33.28515625" customWidth="1"/>
    <col min="4610" max="4610" width="13" customWidth="1"/>
    <col min="4611" max="4612" width="9.28515625" bestFit="1" customWidth="1"/>
    <col min="4613" max="4613" width="11.7109375" customWidth="1"/>
    <col min="4614" max="4614" width="9.85546875" bestFit="1" customWidth="1"/>
    <col min="4615" max="4615" width="11.7109375" customWidth="1"/>
    <col min="4616" max="4616" width="10.42578125" customWidth="1"/>
    <col min="4617" max="4617" width="9.28515625" bestFit="1" customWidth="1"/>
    <col min="4618" max="4618" width="9.85546875" bestFit="1" customWidth="1"/>
    <col min="4619" max="4619" width="11.28515625" customWidth="1"/>
    <col min="4620" max="4627" width="9.85546875" customWidth="1"/>
    <col min="4628" max="4628" width="9.28515625" bestFit="1" customWidth="1"/>
    <col min="4629" max="4629" width="13.5703125" customWidth="1"/>
    <col min="4630" max="4630" width="9.7109375" customWidth="1"/>
    <col min="4631" max="4631" width="10.28515625" bestFit="1" customWidth="1"/>
    <col min="4865" max="4865" width="33.28515625" customWidth="1"/>
    <col min="4866" max="4866" width="13" customWidth="1"/>
    <col min="4867" max="4868" width="9.28515625" bestFit="1" customWidth="1"/>
    <col min="4869" max="4869" width="11.7109375" customWidth="1"/>
    <col min="4870" max="4870" width="9.85546875" bestFit="1" customWidth="1"/>
    <col min="4871" max="4871" width="11.7109375" customWidth="1"/>
    <col min="4872" max="4872" width="10.42578125" customWidth="1"/>
    <col min="4873" max="4873" width="9.28515625" bestFit="1" customWidth="1"/>
    <col min="4874" max="4874" width="9.85546875" bestFit="1" customWidth="1"/>
    <col min="4875" max="4875" width="11.28515625" customWidth="1"/>
    <col min="4876" max="4883" width="9.85546875" customWidth="1"/>
    <col min="4884" max="4884" width="9.28515625" bestFit="1" customWidth="1"/>
    <col min="4885" max="4885" width="13.5703125" customWidth="1"/>
    <col min="4886" max="4886" width="9.7109375" customWidth="1"/>
    <col min="4887" max="4887" width="10.28515625" bestFit="1" customWidth="1"/>
    <col min="5121" max="5121" width="33.28515625" customWidth="1"/>
    <col min="5122" max="5122" width="13" customWidth="1"/>
    <col min="5123" max="5124" width="9.28515625" bestFit="1" customWidth="1"/>
    <col min="5125" max="5125" width="11.7109375" customWidth="1"/>
    <col min="5126" max="5126" width="9.85546875" bestFit="1" customWidth="1"/>
    <col min="5127" max="5127" width="11.7109375" customWidth="1"/>
    <col min="5128" max="5128" width="10.42578125" customWidth="1"/>
    <col min="5129" max="5129" width="9.28515625" bestFit="1" customWidth="1"/>
    <col min="5130" max="5130" width="9.85546875" bestFit="1" customWidth="1"/>
    <col min="5131" max="5131" width="11.28515625" customWidth="1"/>
    <col min="5132" max="5139" width="9.85546875" customWidth="1"/>
    <col min="5140" max="5140" width="9.28515625" bestFit="1" customWidth="1"/>
    <col min="5141" max="5141" width="13.5703125" customWidth="1"/>
    <col min="5142" max="5142" width="9.7109375" customWidth="1"/>
    <col min="5143" max="5143" width="10.28515625" bestFit="1" customWidth="1"/>
    <col min="5377" max="5377" width="33.28515625" customWidth="1"/>
    <col min="5378" max="5378" width="13" customWidth="1"/>
    <col min="5379" max="5380" width="9.28515625" bestFit="1" customWidth="1"/>
    <col min="5381" max="5381" width="11.7109375" customWidth="1"/>
    <col min="5382" max="5382" width="9.85546875" bestFit="1" customWidth="1"/>
    <col min="5383" max="5383" width="11.7109375" customWidth="1"/>
    <col min="5384" max="5384" width="10.42578125" customWidth="1"/>
    <col min="5385" max="5385" width="9.28515625" bestFit="1" customWidth="1"/>
    <col min="5386" max="5386" width="9.85546875" bestFit="1" customWidth="1"/>
    <col min="5387" max="5387" width="11.28515625" customWidth="1"/>
    <col min="5388" max="5395" width="9.85546875" customWidth="1"/>
    <col min="5396" max="5396" width="9.28515625" bestFit="1" customWidth="1"/>
    <col min="5397" max="5397" width="13.5703125" customWidth="1"/>
    <col min="5398" max="5398" width="9.7109375" customWidth="1"/>
    <col min="5399" max="5399" width="10.28515625" bestFit="1" customWidth="1"/>
    <col min="5633" max="5633" width="33.28515625" customWidth="1"/>
    <col min="5634" max="5634" width="13" customWidth="1"/>
    <col min="5635" max="5636" width="9.28515625" bestFit="1" customWidth="1"/>
    <col min="5637" max="5637" width="11.7109375" customWidth="1"/>
    <col min="5638" max="5638" width="9.85546875" bestFit="1" customWidth="1"/>
    <col min="5639" max="5639" width="11.7109375" customWidth="1"/>
    <col min="5640" max="5640" width="10.42578125" customWidth="1"/>
    <col min="5641" max="5641" width="9.28515625" bestFit="1" customWidth="1"/>
    <col min="5642" max="5642" width="9.85546875" bestFit="1" customWidth="1"/>
    <col min="5643" max="5643" width="11.28515625" customWidth="1"/>
    <col min="5644" max="5651" width="9.85546875" customWidth="1"/>
    <col min="5652" max="5652" width="9.28515625" bestFit="1" customWidth="1"/>
    <col min="5653" max="5653" width="13.5703125" customWidth="1"/>
    <col min="5654" max="5654" width="9.7109375" customWidth="1"/>
    <col min="5655" max="5655" width="10.28515625" bestFit="1" customWidth="1"/>
    <col min="5889" max="5889" width="33.28515625" customWidth="1"/>
    <col min="5890" max="5890" width="13" customWidth="1"/>
    <col min="5891" max="5892" width="9.28515625" bestFit="1" customWidth="1"/>
    <col min="5893" max="5893" width="11.7109375" customWidth="1"/>
    <col min="5894" max="5894" width="9.85546875" bestFit="1" customWidth="1"/>
    <col min="5895" max="5895" width="11.7109375" customWidth="1"/>
    <col min="5896" max="5896" width="10.42578125" customWidth="1"/>
    <col min="5897" max="5897" width="9.28515625" bestFit="1" customWidth="1"/>
    <col min="5898" max="5898" width="9.85546875" bestFit="1" customWidth="1"/>
    <col min="5899" max="5899" width="11.28515625" customWidth="1"/>
    <col min="5900" max="5907" width="9.85546875" customWidth="1"/>
    <col min="5908" max="5908" width="9.28515625" bestFit="1" customWidth="1"/>
    <col min="5909" max="5909" width="13.5703125" customWidth="1"/>
    <col min="5910" max="5910" width="9.7109375" customWidth="1"/>
    <col min="5911" max="5911" width="10.28515625" bestFit="1" customWidth="1"/>
    <col min="6145" max="6145" width="33.28515625" customWidth="1"/>
    <col min="6146" max="6146" width="13" customWidth="1"/>
    <col min="6147" max="6148" width="9.28515625" bestFit="1" customWidth="1"/>
    <col min="6149" max="6149" width="11.7109375" customWidth="1"/>
    <col min="6150" max="6150" width="9.85546875" bestFit="1" customWidth="1"/>
    <col min="6151" max="6151" width="11.7109375" customWidth="1"/>
    <col min="6152" max="6152" width="10.42578125" customWidth="1"/>
    <col min="6153" max="6153" width="9.28515625" bestFit="1" customWidth="1"/>
    <col min="6154" max="6154" width="9.85546875" bestFit="1" customWidth="1"/>
    <col min="6155" max="6155" width="11.28515625" customWidth="1"/>
    <col min="6156" max="6163" width="9.85546875" customWidth="1"/>
    <col min="6164" max="6164" width="9.28515625" bestFit="1" customWidth="1"/>
    <col min="6165" max="6165" width="13.5703125" customWidth="1"/>
    <col min="6166" max="6166" width="9.7109375" customWidth="1"/>
    <col min="6167" max="6167" width="10.28515625" bestFit="1" customWidth="1"/>
    <col min="6401" max="6401" width="33.28515625" customWidth="1"/>
    <col min="6402" max="6402" width="13" customWidth="1"/>
    <col min="6403" max="6404" width="9.28515625" bestFit="1" customWidth="1"/>
    <col min="6405" max="6405" width="11.7109375" customWidth="1"/>
    <col min="6406" max="6406" width="9.85546875" bestFit="1" customWidth="1"/>
    <col min="6407" max="6407" width="11.7109375" customWidth="1"/>
    <col min="6408" max="6408" width="10.42578125" customWidth="1"/>
    <col min="6409" max="6409" width="9.28515625" bestFit="1" customWidth="1"/>
    <col min="6410" max="6410" width="9.85546875" bestFit="1" customWidth="1"/>
    <col min="6411" max="6411" width="11.28515625" customWidth="1"/>
    <col min="6412" max="6419" width="9.85546875" customWidth="1"/>
    <col min="6420" max="6420" width="9.28515625" bestFit="1" customWidth="1"/>
    <col min="6421" max="6421" width="13.5703125" customWidth="1"/>
    <col min="6422" max="6422" width="9.7109375" customWidth="1"/>
    <col min="6423" max="6423" width="10.28515625" bestFit="1" customWidth="1"/>
    <col min="6657" max="6657" width="33.28515625" customWidth="1"/>
    <col min="6658" max="6658" width="13" customWidth="1"/>
    <col min="6659" max="6660" width="9.28515625" bestFit="1" customWidth="1"/>
    <col min="6661" max="6661" width="11.7109375" customWidth="1"/>
    <col min="6662" max="6662" width="9.85546875" bestFit="1" customWidth="1"/>
    <col min="6663" max="6663" width="11.7109375" customWidth="1"/>
    <col min="6664" max="6664" width="10.42578125" customWidth="1"/>
    <col min="6665" max="6665" width="9.28515625" bestFit="1" customWidth="1"/>
    <col min="6666" max="6666" width="9.85546875" bestFit="1" customWidth="1"/>
    <col min="6667" max="6667" width="11.28515625" customWidth="1"/>
    <col min="6668" max="6675" width="9.85546875" customWidth="1"/>
    <col min="6676" max="6676" width="9.28515625" bestFit="1" customWidth="1"/>
    <col min="6677" max="6677" width="13.5703125" customWidth="1"/>
    <col min="6678" max="6678" width="9.7109375" customWidth="1"/>
    <col min="6679" max="6679" width="10.28515625" bestFit="1" customWidth="1"/>
    <col min="6913" max="6913" width="33.28515625" customWidth="1"/>
    <col min="6914" max="6914" width="13" customWidth="1"/>
    <col min="6915" max="6916" width="9.28515625" bestFit="1" customWidth="1"/>
    <col min="6917" max="6917" width="11.7109375" customWidth="1"/>
    <col min="6918" max="6918" width="9.85546875" bestFit="1" customWidth="1"/>
    <col min="6919" max="6919" width="11.7109375" customWidth="1"/>
    <col min="6920" max="6920" width="10.42578125" customWidth="1"/>
    <col min="6921" max="6921" width="9.28515625" bestFit="1" customWidth="1"/>
    <col min="6922" max="6922" width="9.85546875" bestFit="1" customWidth="1"/>
    <col min="6923" max="6923" width="11.28515625" customWidth="1"/>
    <col min="6924" max="6931" width="9.85546875" customWidth="1"/>
    <col min="6932" max="6932" width="9.28515625" bestFit="1" customWidth="1"/>
    <col min="6933" max="6933" width="13.5703125" customWidth="1"/>
    <col min="6934" max="6934" width="9.7109375" customWidth="1"/>
    <col min="6935" max="6935" width="10.28515625" bestFit="1" customWidth="1"/>
    <col min="7169" max="7169" width="33.28515625" customWidth="1"/>
    <col min="7170" max="7170" width="13" customWidth="1"/>
    <col min="7171" max="7172" width="9.28515625" bestFit="1" customWidth="1"/>
    <col min="7173" max="7173" width="11.7109375" customWidth="1"/>
    <col min="7174" max="7174" width="9.85546875" bestFit="1" customWidth="1"/>
    <col min="7175" max="7175" width="11.7109375" customWidth="1"/>
    <col min="7176" max="7176" width="10.42578125" customWidth="1"/>
    <col min="7177" max="7177" width="9.28515625" bestFit="1" customWidth="1"/>
    <col min="7178" max="7178" width="9.85546875" bestFit="1" customWidth="1"/>
    <col min="7179" max="7179" width="11.28515625" customWidth="1"/>
    <col min="7180" max="7187" width="9.85546875" customWidth="1"/>
    <col min="7188" max="7188" width="9.28515625" bestFit="1" customWidth="1"/>
    <col min="7189" max="7189" width="13.5703125" customWidth="1"/>
    <col min="7190" max="7190" width="9.7109375" customWidth="1"/>
    <col min="7191" max="7191" width="10.28515625" bestFit="1" customWidth="1"/>
    <col min="7425" max="7425" width="33.28515625" customWidth="1"/>
    <col min="7426" max="7426" width="13" customWidth="1"/>
    <col min="7427" max="7428" width="9.28515625" bestFit="1" customWidth="1"/>
    <col min="7429" max="7429" width="11.7109375" customWidth="1"/>
    <col min="7430" max="7430" width="9.85546875" bestFit="1" customWidth="1"/>
    <col min="7431" max="7431" width="11.7109375" customWidth="1"/>
    <col min="7432" max="7432" width="10.42578125" customWidth="1"/>
    <col min="7433" max="7433" width="9.28515625" bestFit="1" customWidth="1"/>
    <col min="7434" max="7434" width="9.85546875" bestFit="1" customWidth="1"/>
    <col min="7435" max="7435" width="11.28515625" customWidth="1"/>
    <col min="7436" max="7443" width="9.85546875" customWidth="1"/>
    <col min="7444" max="7444" width="9.28515625" bestFit="1" customWidth="1"/>
    <col min="7445" max="7445" width="13.5703125" customWidth="1"/>
    <col min="7446" max="7446" width="9.7109375" customWidth="1"/>
    <col min="7447" max="7447" width="10.28515625" bestFit="1" customWidth="1"/>
    <col min="7681" max="7681" width="33.28515625" customWidth="1"/>
    <col min="7682" max="7682" width="13" customWidth="1"/>
    <col min="7683" max="7684" width="9.28515625" bestFit="1" customWidth="1"/>
    <col min="7685" max="7685" width="11.7109375" customWidth="1"/>
    <col min="7686" max="7686" width="9.85546875" bestFit="1" customWidth="1"/>
    <col min="7687" max="7687" width="11.7109375" customWidth="1"/>
    <col min="7688" max="7688" width="10.42578125" customWidth="1"/>
    <col min="7689" max="7689" width="9.28515625" bestFit="1" customWidth="1"/>
    <col min="7690" max="7690" width="9.85546875" bestFit="1" customWidth="1"/>
    <col min="7691" max="7691" width="11.28515625" customWidth="1"/>
    <col min="7692" max="7699" width="9.85546875" customWidth="1"/>
    <col min="7700" max="7700" width="9.28515625" bestFit="1" customWidth="1"/>
    <col min="7701" max="7701" width="13.5703125" customWidth="1"/>
    <col min="7702" max="7702" width="9.7109375" customWidth="1"/>
    <col min="7703" max="7703" width="10.28515625" bestFit="1" customWidth="1"/>
    <col min="7937" max="7937" width="33.28515625" customWidth="1"/>
    <col min="7938" max="7938" width="13" customWidth="1"/>
    <col min="7939" max="7940" width="9.28515625" bestFit="1" customWidth="1"/>
    <col min="7941" max="7941" width="11.7109375" customWidth="1"/>
    <col min="7942" max="7942" width="9.85546875" bestFit="1" customWidth="1"/>
    <col min="7943" max="7943" width="11.7109375" customWidth="1"/>
    <col min="7944" max="7944" width="10.42578125" customWidth="1"/>
    <col min="7945" max="7945" width="9.28515625" bestFit="1" customWidth="1"/>
    <col min="7946" max="7946" width="9.85546875" bestFit="1" customWidth="1"/>
    <col min="7947" max="7947" width="11.28515625" customWidth="1"/>
    <col min="7948" max="7955" width="9.85546875" customWidth="1"/>
    <col min="7956" max="7956" width="9.28515625" bestFit="1" customWidth="1"/>
    <col min="7957" max="7957" width="13.5703125" customWidth="1"/>
    <col min="7958" max="7958" width="9.7109375" customWidth="1"/>
    <col min="7959" max="7959" width="10.28515625" bestFit="1" customWidth="1"/>
    <col min="8193" max="8193" width="33.28515625" customWidth="1"/>
    <col min="8194" max="8194" width="13" customWidth="1"/>
    <col min="8195" max="8196" width="9.28515625" bestFit="1" customWidth="1"/>
    <col min="8197" max="8197" width="11.7109375" customWidth="1"/>
    <col min="8198" max="8198" width="9.85546875" bestFit="1" customWidth="1"/>
    <col min="8199" max="8199" width="11.7109375" customWidth="1"/>
    <col min="8200" max="8200" width="10.42578125" customWidth="1"/>
    <col min="8201" max="8201" width="9.28515625" bestFit="1" customWidth="1"/>
    <col min="8202" max="8202" width="9.85546875" bestFit="1" customWidth="1"/>
    <col min="8203" max="8203" width="11.28515625" customWidth="1"/>
    <col min="8204" max="8211" width="9.85546875" customWidth="1"/>
    <col min="8212" max="8212" width="9.28515625" bestFit="1" customWidth="1"/>
    <col min="8213" max="8213" width="13.5703125" customWidth="1"/>
    <col min="8214" max="8214" width="9.7109375" customWidth="1"/>
    <col min="8215" max="8215" width="10.28515625" bestFit="1" customWidth="1"/>
    <col min="8449" max="8449" width="33.28515625" customWidth="1"/>
    <col min="8450" max="8450" width="13" customWidth="1"/>
    <col min="8451" max="8452" width="9.28515625" bestFit="1" customWidth="1"/>
    <col min="8453" max="8453" width="11.7109375" customWidth="1"/>
    <col min="8454" max="8454" width="9.85546875" bestFit="1" customWidth="1"/>
    <col min="8455" max="8455" width="11.7109375" customWidth="1"/>
    <col min="8456" max="8456" width="10.42578125" customWidth="1"/>
    <col min="8457" max="8457" width="9.28515625" bestFit="1" customWidth="1"/>
    <col min="8458" max="8458" width="9.85546875" bestFit="1" customWidth="1"/>
    <col min="8459" max="8459" width="11.28515625" customWidth="1"/>
    <col min="8460" max="8467" width="9.85546875" customWidth="1"/>
    <col min="8468" max="8468" width="9.28515625" bestFit="1" customWidth="1"/>
    <col min="8469" max="8469" width="13.5703125" customWidth="1"/>
    <col min="8470" max="8470" width="9.7109375" customWidth="1"/>
    <col min="8471" max="8471" width="10.28515625" bestFit="1" customWidth="1"/>
    <col min="8705" max="8705" width="33.28515625" customWidth="1"/>
    <col min="8706" max="8706" width="13" customWidth="1"/>
    <col min="8707" max="8708" width="9.28515625" bestFit="1" customWidth="1"/>
    <col min="8709" max="8709" width="11.7109375" customWidth="1"/>
    <col min="8710" max="8710" width="9.85546875" bestFit="1" customWidth="1"/>
    <col min="8711" max="8711" width="11.7109375" customWidth="1"/>
    <col min="8712" max="8712" width="10.42578125" customWidth="1"/>
    <col min="8713" max="8713" width="9.28515625" bestFit="1" customWidth="1"/>
    <col min="8714" max="8714" width="9.85546875" bestFit="1" customWidth="1"/>
    <col min="8715" max="8715" width="11.28515625" customWidth="1"/>
    <col min="8716" max="8723" width="9.85546875" customWidth="1"/>
    <col min="8724" max="8724" width="9.28515625" bestFit="1" customWidth="1"/>
    <col min="8725" max="8725" width="13.5703125" customWidth="1"/>
    <col min="8726" max="8726" width="9.7109375" customWidth="1"/>
    <col min="8727" max="8727" width="10.28515625" bestFit="1" customWidth="1"/>
    <col min="8961" max="8961" width="33.28515625" customWidth="1"/>
    <col min="8962" max="8962" width="13" customWidth="1"/>
    <col min="8963" max="8964" width="9.28515625" bestFit="1" customWidth="1"/>
    <col min="8965" max="8965" width="11.7109375" customWidth="1"/>
    <col min="8966" max="8966" width="9.85546875" bestFit="1" customWidth="1"/>
    <col min="8967" max="8967" width="11.7109375" customWidth="1"/>
    <col min="8968" max="8968" width="10.42578125" customWidth="1"/>
    <col min="8969" max="8969" width="9.28515625" bestFit="1" customWidth="1"/>
    <col min="8970" max="8970" width="9.85546875" bestFit="1" customWidth="1"/>
    <col min="8971" max="8971" width="11.28515625" customWidth="1"/>
    <col min="8972" max="8979" width="9.85546875" customWidth="1"/>
    <col min="8980" max="8980" width="9.28515625" bestFit="1" customWidth="1"/>
    <col min="8981" max="8981" width="13.5703125" customWidth="1"/>
    <col min="8982" max="8982" width="9.7109375" customWidth="1"/>
    <col min="8983" max="8983" width="10.28515625" bestFit="1" customWidth="1"/>
    <col min="9217" max="9217" width="33.28515625" customWidth="1"/>
    <col min="9218" max="9218" width="13" customWidth="1"/>
    <col min="9219" max="9220" width="9.28515625" bestFit="1" customWidth="1"/>
    <col min="9221" max="9221" width="11.7109375" customWidth="1"/>
    <col min="9222" max="9222" width="9.85546875" bestFit="1" customWidth="1"/>
    <col min="9223" max="9223" width="11.7109375" customWidth="1"/>
    <col min="9224" max="9224" width="10.42578125" customWidth="1"/>
    <col min="9225" max="9225" width="9.28515625" bestFit="1" customWidth="1"/>
    <col min="9226" max="9226" width="9.85546875" bestFit="1" customWidth="1"/>
    <col min="9227" max="9227" width="11.28515625" customWidth="1"/>
    <col min="9228" max="9235" width="9.85546875" customWidth="1"/>
    <col min="9236" max="9236" width="9.28515625" bestFit="1" customWidth="1"/>
    <col min="9237" max="9237" width="13.5703125" customWidth="1"/>
    <col min="9238" max="9238" width="9.7109375" customWidth="1"/>
    <col min="9239" max="9239" width="10.28515625" bestFit="1" customWidth="1"/>
    <col min="9473" max="9473" width="33.28515625" customWidth="1"/>
    <col min="9474" max="9474" width="13" customWidth="1"/>
    <col min="9475" max="9476" width="9.28515625" bestFit="1" customWidth="1"/>
    <col min="9477" max="9477" width="11.7109375" customWidth="1"/>
    <col min="9478" max="9478" width="9.85546875" bestFit="1" customWidth="1"/>
    <col min="9479" max="9479" width="11.7109375" customWidth="1"/>
    <col min="9480" max="9480" width="10.42578125" customWidth="1"/>
    <col min="9481" max="9481" width="9.28515625" bestFit="1" customWidth="1"/>
    <col min="9482" max="9482" width="9.85546875" bestFit="1" customWidth="1"/>
    <col min="9483" max="9483" width="11.28515625" customWidth="1"/>
    <col min="9484" max="9491" width="9.85546875" customWidth="1"/>
    <col min="9492" max="9492" width="9.28515625" bestFit="1" customWidth="1"/>
    <col min="9493" max="9493" width="13.5703125" customWidth="1"/>
    <col min="9494" max="9494" width="9.7109375" customWidth="1"/>
    <col min="9495" max="9495" width="10.28515625" bestFit="1" customWidth="1"/>
    <col min="9729" max="9729" width="33.28515625" customWidth="1"/>
    <col min="9730" max="9730" width="13" customWidth="1"/>
    <col min="9731" max="9732" width="9.28515625" bestFit="1" customWidth="1"/>
    <col min="9733" max="9733" width="11.7109375" customWidth="1"/>
    <col min="9734" max="9734" width="9.85546875" bestFit="1" customWidth="1"/>
    <col min="9735" max="9735" width="11.7109375" customWidth="1"/>
    <col min="9736" max="9736" width="10.42578125" customWidth="1"/>
    <col min="9737" max="9737" width="9.28515625" bestFit="1" customWidth="1"/>
    <col min="9738" max="9738" width="9.85546875" bestFit="1" customWidth="1"/>
    <col min="9739" max="9739" width="11.28515625" customWidth="1"/>
    <col min="9740" max="9747" width="9.85546875" customWidth="1"/>
    <col min="9748" max="9748" width="9.28515625" bestFit="1" customWidth="1"/>
    <col min="9749" max="9749" width="13.5703125" customWidth="1"/>
    <col min="9750" max="9750" width="9.7109375" customWidth="1"/>
    <col min="9751" max="9751" width="10.28515625" bestFit="1" customWidth="1"/>
    <col min="9985" max="9985" width="33.28515625" customWidth="1"/>
    <col min="9986" max="9986" width="13" customWidth="1"/>
    <col min="9987" max="9988" width="9.28515625" bestFit="1" customWidth="1"/>
    <col min="9989" max="9989" width="11.7109375" customWidth="1"/>
    <col min="9990" max="9990" width="9.85546875" bestFit="1" customWidth="1"/>
    <col min="9991" max="9991" width="11.7109375" customWidth="1"/>
    <col min="9992" max="9992" width="10.42578125" customWidth="1"/>
    <col min="9993" max="9993" width="9.28515625" bestFit="1" customWidth="1"/>
    <col min="9994" max="9994" width="9.85546875" bestFit="1" customWidth="1"/>
    <col min="9995" max="9995" width="11.28515625" customWidth="1"/>
    <col min="9996" max="10003" width="9.85546875" customWidth="1"/>
    <col min="10004" max="10004" width="9.28515625" bestFit="1" customWidth="1"/>
    <col min="10005" max="10005" width="13.5703125" customWidth="1"/>
    <col min="10006" max="10006" width="9.7109375" customWidth="1"/>
    <col min="10007" max="10007" width="10.28515625" bestFit="1" customWidth="1"/>
    <col min="10241" max="10241" width="33.28515625" customWidth="1"/>
    <col min="10242" max="10242" width="13" customWidth="1"/>
    <col min="10243" max="10244" width="9.28515625" bestFit="1" customWidth="1"/>
    <col min="10245" max="10245" width="11.7109375" customWidth="1"/>
    <col min="10246" max="10246" width="9.85546875" bestFit="1" customWidth="1"/>
    <col min="10247" max="10247" width="11.7109375" customWidth="1"/>
    <col min="10248" max="10248" width="10.42578125" customWidth="1"/>
    <col min="10249" max="10249" width="9.28515625" bestFit="1" customWidth="1"/>
    <col min="10250" max="10250" width="9.85546875" bestFit="1" customWidth="1"/>
    <col min="10251" max="10251" width="11.28515625" customWidth="1"/>
    <col min="10252" max="10259" width="9.85546875" customWidth="1"/>
    <col min="10260" max="10260" width="9.28515625" bestFit="1" customWidth="1"/>
    <col min="10261" max="10261" width="13.5703125" customWidth="1"/>
    <col min="10262" max="10262" width="9.7109375" customWidth="1"/>
    <col min="10263" max="10263" width="10.28515625" bestFit="1" customWidth="1"/>
    <col min="10497" max="10497" width="33.28515625" customWidth="1"/>
    <col min="10498" max="10498" width="13" customWidth="1"/>
    <col min="10499" max="10500" width="9.28515625" bestFit="1" customWidth="1"/>
    <col min="10501" max="10501" width="11.7109375" customWidth="1"/>
    <col min="10502" max="10502" width="9.85546875" bestFit="1" customWidth="1"/>
    <col min="10503" max="10503" width="11.7109375" customWidth="1"/>
    <col min="10504" max="10504" width="10.42578125" customWidth="1"/>
    <col min="10505" max="10505" width="9.28515625" bestFit="1" customWidth="1"/>
    <col min="10506" max="10506" width="9.85546875" bestFit="1" customWidth="1"/>
    <col min="10507" max="10507" width="11.28515625" customWidth="1"/>
    <col min="10508" max="10515" width="9.85546875" customWidth="1"/>
    <col min="10516" max="10516" width="9.28515625" bestFit="1" customWidth="1"/>
    <col min="10517" max="10517" width="13.5703125" customWidth="1"/>
    <col min="10518" max="10518" width="9.7109375" customWidth="1"/>
    <col min="10519" max="10519" width="10.28515625" bestFit="1" customWidth="1"/>
    <col min="10753" max="10753" width="33.28515625" customWidth="1"/>
    <col min="10754" max="10754" width="13" customWidth="1"/>
    <col min="10755" max="10756" width="9.28515625" bestFit="1" customWidth="1"/>
    <col min="10757" max="10757" width="11.7109375" customWidth="1"/>
    <col min="10758" max="10758" width="9.85546875" bestFit="1" customWidth="1"/>
    <col min="10759" max="10759" width="11.7109375" customWidth="1"/>
    <col min="10760" max="10760" width="10.42578125" customWidth="1"/>
    <col min="10761" max="10761" width="9.28515625" bestFit="1" customWidth="1"/>
    <col min="10762" max="10762" width="9.85546875" bestFit="1" customWidth="1"/>
    <col min="10763" max="10763" width="11.28515625" customWidth="1"/>
    <col min="10764" max="10771" width="9.85546875" customWidth="1"/>
    <col min="10772" max="10772" width="9.28515625" bestFit="1" customWidth="1"/>
    <col min="10773" max="10773" width="13.5703125" customWidth="1"/>
    <col min="10774" max="10774" width="9.7109375" customWidth="1"/>
    <col min="10775" max="10775" width="10.28515625" bestFit="1" customWidth="1"/>
    <col min="11009" max="11009" width="33.28515625" customWidth="1"/>
    <col min="11010" max="11010" width="13" customWidth="1"/>
    <col min="11011" max="11012" width="9.28515625" bestFit="1" customWidth="1"/>
    <col min="11013" max="11013" width="11.7109375" customWidth="1"/>
    <col min="11014" max="11014" width="9.85546875" bestFit="1" customWidth="1"/>
    <col min="11015" max="11015" width="11.7109375" customWidth="1"/>
    <col min="11016" max="11016" width="10.42578125" customWidth="1"/>
    <col min="11017" max="11017" width="9.28515625" bestFit="1" customWidth="1"/>
    <col min="11018" max="11018" width="9.85546875" bestFit="1" customWidth="1"/>
    <col min="11019" max="11019" width="11.28515625" customWidth="1"/>
    <col min="11020" max="11027" width="9.85546875" customWidth="1"/>
    <col min="11028" max="11028" width="9.28515625" bestFit="1" customWidth="1"/>
    <col min="11029" max="11029" width="13.5703125" customWidth="1"/>
    <col min="11030" max="11030" width="9.7109375" customWidth="1"/>
    <col min="11031" max="11031" width="10.28515625" bestFit="1" customWidth="1"/>
    <col min="11265" max="11265" width="33.28515625" customWidth="1"/>
    <col min="11266" max="11266" width="13" customWidth="1"/>
    <col min="11267" max="11268" width="9.28515625" bestFit="1" customWidth="1"/>
    <col min="11269" max="11269" width="11.7109375" customWidth="1"/>
    <col min="11270" max="11270" width="9.85546875" bestFit="1" customWidth="1"/>
    <col min="11271" max="11271" width="11.7109375" customWidth="1"/>
    <col min="11272" max="11272" width="10.42578125" customWidth="1"/>
    <col min="11273" max="11273" width="9.28515625" bestFit="1" customWidth="1"/>
    <col min="11274" max="11274" width="9.85546875" bestFit="1" customWidth="1"/>
    <col min="11275" max="11275" width="11.28515625" customWidth="1"/>
    <col min="11276" max="11283" width="9.85546875" customWidth="1"/>
    <col min="11284" max="11284" width="9.28515625" bestFit="1" customWidth="1"/>
    <col min="11285" max="11285" width="13.5703125" customWidth="1"/>
    <col min="11286" max="11286" width="9.7109375" customWidth="1"/>
    <col min="11287" max="11287" width="10.28515625" bestFit="1" customWidth="1"/>
    <col min="11521" max="11521" width="33.28515625" customWidth="1"/>
    <col min="11522" max="11522" width="13" customWidth="1"/>
    <col min="11523" max="11524" width="9.28515625" bestFit="1" customWidth="1"/>
    <col min="11525" max="11525" width="11.7109375" customWidth="1"/>
    <col min="11526" max="11526" width="9.85546875" bestFit="1" customWidth="1"/>
    <col min="11527" max="11527" width="11.7109375" customWidth="1"/>
    <col min="11528" max="11528" width="10.42578125" customWidth="1"/>
    <col min="11529" max="11529" width="9.28515625" bestFit="1" customWidth="1"/>
    <col min="11530" max="11530" width="9.85546875" bestFit="1" customWidth="1"/>
    <col min="11531" max="11531" width="11.28515625" customWidth="1"/>
    <col min="11532" max="11539" width="9.85546875" customWidth="1"/>
    <col min="11540" max="11540" width="9.28515625" bestFit="1" customWidth="1"/>
    <col min="11541" max="11541" width="13.5703125" customWidth="1"/>
    <col min="11542" max="11542" width="9.7109375" customWidth="1"/>
    <col min="11543" max="11543" width="10.28515625" bestFit="1" customWidth="1"/>
    <col min="11777" max="11777" width="33.28515625" customWidth="1"/>
    <col min="11778" max="11778" width="13" customWidth="1"/>
    <col min="11779" max="11780" width="9.28515625" bestFit="1" customWidth="1"/>
    <col min="11781" max="11781" width="11.7109375" customWidth="1"/>
    <col min="11782" max="11782" width="9.85546875" bestFit="1" customWidth="1"/>
    <col min="11783" max="11783" width="11.7109375" customWidth="1"/>
    <col min="11784" max="11784" width="10.42578125" customWidth="1"/>
    <col min="11785" max="11785" width="9.28515625" bestFit="1" customWidth="1"/>
    <col min="11786" max="11786" width="9.85546875" bestFit="1" customWidth="1"/>
    <col min="11787" max="11787" width="11.28515625" customWidth="1"/>
    <col min="11788" max="11795" width="9.85546875" customWidth="1"/>
    <col min="11796" max="11796" width="9.28515625" bestFit="1" customWidth="1"/>
    <col min="11797" max="11797" width="13.5703125" customWidth="1"/>
    <col min="11798" max="11798" width="9.7109375" customWidth="1"/>
    <col min="11799" max="11799" width="10.28515625" bestFit="1" customWidth="1"/>
    <col min="12033" max="12033" width="33.28515625" customWidth="1"/>
    <col min="12034" max="12034" width="13" customWidth="1"/>
    <col min="12035" max="12036" width="9.28515625" bestFit="1" customWidth="1"/>
    <col min="12037" max="12037" width="11.7109375" customWidth="1"/>
    <col min="12038" max="12038" width="9.85546875" bestFit="1" customWidth="1"/>
    <col min="12039" max="12039" width="11.7109375" customWidth="1"/>
    <col min="12040" max="12040" width="10.42578125" customWidth="1"/>
    <col min="12041" max="12041" width="9.28515625" bestFit="1" customWidth="1"/>
    <col min="12042" max="12042" width="9.85546875" bestFit="1" customWidth="1"/>
    <col min="12043" max="12043" width="11.28515625" customWidth="1"/>
    <col min="12044" max="12051" width="9.85546875" customWidth="1"/>
    <col min="12052" max="12052" width="9.28515625" bestFit="1" customWidth="1"/>
    <col min="12053" max="12053" width="13.5703125" customWidth="1"/>
    <col min="12054" max="12054" width="9.7109375" customWidth="1"/>
    <col min="12055" max="12055" width="10.28515625" bestFit="1" customWidth="1"/>
    <col min="12289" max="12289" width="33.28515625" customWidth="1"/>
    <col min="12290" max="12290" width="13" customWidth="1"/>
    <col min="12291" max="12292" width="9.28515625" bestFit="1" customWidth="1"/>
    <col min="12293" max="12293" width="11.7109375" customWidth="1"/>
    <col min="12294" max="12294" width="9.85546875" bestFit="1" customWidth="1"/>
    <col min="12295" max="12295" width="11.7109375" customWidth="1"/>
    <col min="12296" max="12296" width="10.42578125" customWidth="1"/>
    <col min="12297" max="12297" width="9.28515625" bestFit="1" customWidth="1"/>
    <col min="12298" max="12298" width="9.85546875" bestFit="1" customWidth="1"/>
    <col min="12299" max="12299" width="11.28515625" customWidth="1"/>
    <col min="12300" max="12307" width="9.85546875" customWidth="1"/>
    <col min="12308" max="12308" width="9.28515625" bestFit="1" customWidth="1"/>
    <col min="12309" max="12309" width="13.5703125" customWidth="1"/>
    <col min="12310" max="12310" width="9.7109375" customWidth="1"/>
    <col min="12311" max="12311" width="10.28515625" bestFit="1" customWidth="1"/>
    <col min="12545" max="12545" width="33.28515625" customWidth="1"/>
    <col min="12546" max="12546" width="13" customWidth="1"/>
    <col min="12547" max="12548" width="9.28515625" bestFit="1" customWidth="1"/>
    <col min="12549" max="12549" width="11.7109375" customWidth="1"/>
    <col min="12550" max="12550" width="9.85546875" bestFit="1" customWidth="1"/>
    <col min="12551" max="12551" width="11.7109375" customWidth="1"/>
    <col min="12552" max="12552" width="10.42578125" customWidth="1"/>
    <col min="12553" max="12553" width="9.28515625" bestFit="1" customWidth="1"/>
    <col min="12554" max="12554" width="9.85546875" bestFit="1" customWidth="1"/>
    <col min="12555" max="12555" width="11.28515625" customWidth="1"/>
    <col min="12556" max="12563" width="9.85546875" customWidth="1"/>
    <col min="12564" max="12564" width="9.28515625" bestFit="1" customWidth="1"/>
    <col min="12565" max="12565" width="13.5703125" customWidth="1"/>
    <col min="12566" max="12566" width="9.7109375" customWidth="1"/>
    <col min="12567" max="12567" width="10.28515625" bestFit="1" customWidth="1"/>
    <col min="12801" max="12801" width="33.28515625" customWidth="1"/>
    <col min="12802" max="12802" width="13" customWidth="1"/>
    <col min="12803" max="12804" width="9.28515625" bestFit="1" customWidth="1"/>
    <col min="12805" max="12805" width="11.7109375" customWidth="1"/>
    <col min="12806" max="12806" width="9.85546875" bestFit="1" customWidth="1"/>
    <col min="12807" max="12807" width="11.7109375" customWidth="1"/>
    <col min="12808" max="12808" width="10.42578125" customWidth="1"/>
    <col min="12809" max="12809" width="9.28515625" bestFit="1" customWidth="1"/>
    <col min="12810" max="12810" width="9.85546875" bestFit="1" customWidth="1"/>
    <col min="12811" max="12811" width="11.28515625" customWidth="1"/>
    <col min="12812" max="12819" width="9.85546875" customWidth="1"/>
    <col min="12820" max="12820" width="9.28515625" bestFit="1" customWidth="1"/>
    <col min="12821" max="12821" width="13.5703125" customWidth="1"/>
    <col min="12822" max="12822" width="9.7109375" customWidth="1"/>
    <col min="12823" max="12823" width="10.28515625" bestFit="1" customWidth="1"/>
    <col min="13057" max="13057" width="33.28515625" customWidth="1"/>
    <col min="13058" max="13058" width="13" customWidth="1"/>
    <col min="13059" max="13060" width="9.28515625" bestFit="1" customWidth="1"/>
    <col min="13061" max="13061" width="11.7109375" customWidth="1"/>
    <col min="13062" max="13062" width="9.85546875" bestFit="1" customWidth="1"/>
    <col min="13063" max="13063" width="11.7109375" customWidth="1"/>
    <col min="13064" max="13064" width="10.42578125" customWidth="1"/>
    <col min="13065" max="13065" width="9.28515625" bestFit="1" customWidth="1"/>
    <col min="13066" max="13066" width="9.85546875" bestFit="1" customWidth="1"/>
    <col min="13067" max="13067" width="11.28515625" customWidth="1"/>
    <col min="13068" max="13075" width="9.85546875" customWidth="1"/>
    <col min="13076" max="13076" width="9.28515625" bestFit="1" customWidth="1"/>
    <col min="13077" max="13077" width="13.5703125" customWidth="1"/>
    <col min="13078" max="13078" width="9.7109375" customWidth="1"/>
    <col min="13079" max="13079" width="10.28515625" bestFit="1" customWidth="1"/>
    <col min="13313" max="13313" width="33.28515625" customWidth="1"/>
    <col min="13314" max="13314" width="13" customWidth="1"/>
    <col min="13315" max="13316" width="9.28515625" bestFit="1" customWidth="1"/>
    <col min="13317" max="13317" width="11.7109375" customWidth="1"/>
    <col min="13318" max="13318" width="9.85546875" bestFit="1" customWidth="1"/>
    <col min="13319" max="13319" width="11.7109375" customWidth="1"/>
    <col min="13320" max="13320" width="10.42578125" customWidth="1"/>
    <col min="13321" max="13321" width="9.28515625" bestFit="1" customWidth="1"/>
    <col min="13322" max="13322" width="9.85546875" bestFit="1" customWidth="1"/>
    <col min="13323" max="13323" width="11.28515625" customWidth="1"/>
    <col min="13324" max="13331" width="9.85546875" customWidth="1"/>
    <col min="13332" max="13332" width="9.28515625" bestFit="1" customWidth="1"/>
    <col min="13333" max="13333" width="13.5703125" customWidth="1"/>
    <col min="13334" max="13334" width="9.7109375" customWidth="1"/>
    <col min="13335" max="13335" width="10.28515625" bestFit="1" customWidth="1"/>
    <col min="13569" max="13569" width="33.28515625" customWidth="1"/>
    <col min="13570" max="13570" width="13" customWidth="1"/>
    <col min="13571" max="13572" width="9.28515625" bestFit="1" customWidth="1"/>
    <col min="13573" max="13573" width="11.7109375" customWidth="1"/>
    <col min="13574" max="13574" width="9.85546875" bestFit="1" customWidth="1"/>
    <col min="13575" max="13575" width="11.7109375" customWidth="1"/>
    <col min="13576" max="13576" width="10.42578125" customWidth="1"/>
    <col min="13577" max="13577" width="9.28515625" bestFit="1" customWidth="1"/>
    <col min="13578" max="13578" width="9.85546875" bestFit="1" customWidth="1"/>
    <col min="13579" max="13579" width="11.28515625" customWidth="1"/>
    <col min="13580" max="13587" width="9.85546875" customWidth="1"/>
    <col min="13588" max="13588" width="9.28515625" bestFit="1" customWidth="1"/>
    <col min="13589" max="13589" width="13.5703125" customWidth="1"/>
    <col min="13590" max="13590" width="9.7109375" customWidth="1"/>
    <col min="13591" max="13591" width="10.28515625" bestFit="1" customWidth="1"/>
    <col min="13825" max="13825" width="33.28515625" customWidth="1"/>
    <col min="13826" max="13826" width="13" customWidth="1"/>
    <col min="13827" max="13828" width="9.28515625" bestFit="1" customWidth="1"/>
    <col min="13829" max="13829" width="11.7109375" customWidth="1"/>
    <col min="13830" max="13830" width="9.85546875" bestFit="1" customWidth="1"/>
    <col min="13831" max="13831" width="11.7109375" customWidth="1"/>
    <col min="13832" max="13832" width="10.42578125" customWidth="1"/>
    <col min="13833" max="13833" width="9.28515625" bestFit="1" customWidth="1"/>
    <col min="13834" max="13834" width="9.85546875" bestFit="1" customWidth="1"/>
    <col min="13835" max="13835" width="11.28515625" customWidth="1"/>
    <col min="13836" max="13843" width="9.85546875" customWidth="1"/>
    <col min="13844" max="13844" width="9.28515625" bestFit="1" customWidth="1"/>
    <col min="13845" max="13845" width="13.5703125" customWidth="1"/>
    <col min="13846" max="13846" width="9.7109375" customWidth="1"/>
    <col min="13847" max="13847" width="10.28515625" bestFit="1" customWidth="1"/>
    <col min="14081" max="14081" width="33.28515625" customWidth="1"/>
    <col min="14082" max="14082" width="13" customWidth="1"/>
    <col min="14083" max="14084" width="9.28515625" bestFit="1" customWidth="1"/>
    <col min="14085" max="14085" width="11.7109375" customWidth="1"/>
    <col min="14086" max="14086" width="9.85546875" bestFit="1" customWidth="1"/>
    <col min="14087" max="14087" width="11.7109375" customWidth="1"/>
    <col min="14088" max="14088" width="10.42578125" customWidth="1"/>
    <col min="14089" max="14089" width="9.28515625" bestFit="1" customWidth="1"/>
    <col min="14090" max="14090" width="9.85546875" bestFit="1" customWidth="1"/>
    <col min="14091" max="14091" width="11.28515625" customWidth="1"/>
    <col min="14092" max="14099" width="9.85546875" customWidth="1"/>
    <col min="14100" max="14100" width="9.28515625" bestFit="1" customWidth="1"/>
    <col min="14101" max="14101" width="13.5703125" customWidth="1"/>
    <col min="14102" max="14102" width="9.7109375" customWidth="1"/>
    <col min="14103" max="14103" width="10.28515625" bestFit="1" customWidth="1"/>
    <col min="14337" max="14337" width="33.28515625" customWidth="1"/>
    <col min="14338" max="14338" width="13" customWidth="1"/>
    <col min="14339" max="14340" width="9.28515625" bestFit="1" customWidth="1"/>
    <col min="14341" max="14341" width="11.7109375" customWidth="1"/>
    <col min="14342" max="14342" width="9.85546875" bestFit="1" customWidth="1"/>
    <col min="14343" max="14343" width="11.7109375" customWidth="1"/>
    <col min="14344" max="14344" width="10.42578125" customWidth="1"/>
    <col min="14345" max="14345" width="9.28515625" bestFit="1" customWidth="1"/>
    <col min="14346" max="14346" width="9.85546875" bestFit="1" customWidth="1"/>
    <col min="14347" max="14347" width="11.28515625" customWidth="1"/>
    <col min="14348" max="14355" width="9.85546875" customWidth="1"/>
    <col min="14356" max="14356" width="9.28515625" bestFit="1" customWidth="1"/>
    <col min="14357" max="14357" width="13.5703125" customWidth="1"/>
    <col min="14358" max="14358" width="9.7109375" customWidth="1"/>
    <col min="14359" max="14359" width="10.28515625" bestFit="1" customWidth="1"/>
    <col min="14593" max="14593" width="33.28515625" customWidth="1"/>
    <col min="14594" max="14594" width="13" customWidth="1"/>
    <col min="14595" max="14596" width="9.28515625" bestFit="1" customWidth="1"/>
    <col min="14597" max="14597" width="11.7109375" customWidth="1"/>
    <col min="14598" max="14598" width="9.85546875" bestFit="1" customWidth="1"/>
    <col min="14599" max="14599" width="11.7109375" customWidth="1"/>
    <col min="14600" max="14600" width="10.42578125" customWidth="1"/>
    <col min="14601" max="14601" width="9.28515625" bestFit="1" customWidth="1"/>
    <col min="14602" max="14602" width="9.85546875" bestFit="1" customWidth="1"/>
    <col min="14603" max="14603" width="11.28515625" customWidth="1"/>
    <col min="14604" max="14611" width="9.85546875" customWidth="1"/>
    <col min="14612" max="14612" width="9.28515625" bestFit="1" customWidth="1"/>
    <col min="14613" max="14613" width="13.5703125" customWidth="1"/>
    <col min="14614" max="14614" width="9.7109375" customWidth="1"/>
    <col min="14615" max="14615" width="10.28515625" bestFit="1" customWidth="1"/>
    <col min="14849" max="14849" width="33.28515625" customWidth="1"/>
    <col min="14850" max="14850" width="13" customWidth="1"/>
    <col min="14851" max="14852" width="9.28515625" bestFit="1" customWidth="1"/>
    <col min="14853" max="14853" width="11.7109375" customWidth="1"/>
    <col min="14854" max="14854" width="9.85546875" bestFit="1" customWidth="1"/>
    <col min="14855" max="14855" width="11.7109375" customWidth="1"/>
    <col min="14856" max="14856" width="10.42578125" customWidth="1"/>
    <col min="14857" max="14857" width="9.28515625" bestFit="1" customWidth="1"/>
    <col min="14858" max="14858" width="9.85546875" bestFit="1" customWidth="1"/>
    <col min="14859" max="14859" width="11.28515625" customWidth="1"/>
    <col min="14860" max="14867" width="9.85546875" customWidth="1"/>
    <col min="14868" max="14868" width="9.28515625" bestFit="1" customWidth="1"/>
    <col min="14869" max="14869" width="13.5703125" customWidth="1"/>
    <col min="14870" max="14870" width="9.7109375" customWidth="1"/>
    <col min="14871" max="14871" width="10.28515625" bestFit="1" customWidth="1"/>
    <col min="15105" max="15105" width="33.28515625" customWidth="1"/>
    <col min="15106" max="15106" width="13" customWidth="1"/>
    <col min="15107" max="15108" width="9.28515625" bestFit="1" customWidth="1"/>
    <col min="15109" max="15109" width="11.7109375" customWidth="1"/>
    <col min="15110" max="15110" width="9.85546875" bestFit="1" customWidth="1"/>
    <col min="15111" max="15111" width="11.7109375" customWidth="1"/>
    <col min="15112" max="15112" width="10.42578125" customWidth="1"/>
    <col min="15113" max="15113" width="9.28515625" bestFit="1" customWidth="1"/>
    <col min="15114" max="15114" width="9.85546875" bestFit="1" customWidth="1"/>
    <col min="15115" max="15115" width="11.28515625" customWidth="1"/>
    <col min="15116" max="15123" width="9.85546875" customWidth="1"/>
    <col min="15124" max="15124" width="9.28515625" bestFit="1" customWidth="1"/>
    <col min="15125" max="15125" width="13.5703125" customWidth="1"/>
    <col min="15126" max="15126" width="9.7109375" customWidth="1"/>
    <col min="15127" max="15127" width="10.28515625" bestFit="1" customWidth="1"/>
    <col min="15361" max="15361" width="33.28515625" customWidth="1"/>
    <col min="15362" max="15362" width="13" customWidth="1"/>
    <col min="15363" max="15364" width="9.28515625" bestFit="1" customWidth="1"/>
    <col min="15365" max="15365" width="11.7109375" customWidth="1"/>
    <col min="15366" max="15366" width="9.85546875" bestFit="1" customWidth="1"/>
    <col min="15367" max="15367" width="11.7109375" customWidth="1"/>
    <col min="15368" max="15368" width="10.42578125" customWidth="1"/>
    <col min="15369" max="15369" width="9.28515625" bestFit="1" customWidth="1"/>
    <col min="15370" max="15370" width="9.85546875" bestFit="1" customWidth="1"/>
    <col min="15371" max="15371" width="11.28515625" customWidth="1"/>
    <col min="15372" max="15379" width="9.85546875" customWidth="1"/>
    <col min="15380" max="15380" width="9.28515625" bestFit="1" customWidth="1"/>
    <col min="15381" max="15381" width="13.5703125" customWidth="1"/>
    <col min="15382" max="15382" width="9.7109375" customWidth="1"/>
    <col min="15383" max="15383" width="10.28515625" bestFit="1" customWidth="1"/>
    <col min="15617" max="15617" width="33.28515625" customWidth="1"/>
    <col min="15618" max="15618" width="13" customWidth="1"/>
    <col min="15619" max="15620" width="9.28515625" bestFit="1" customWidth="1"/>
    <col min="15621" max="15621" width="11.7109375" customWidth="1"/>
    <col min="15622" max="15622" width="9.85546875" bestFit="1" customWidth="1"/>
    <col min="15623" max="15623" width="11.7109375" customWidth="1"/>
    <col min="15624" max="15624" width="10.42578125" customWidth="1"/>
    <col min="15625" max="15625" width="9.28515625" bestFit="1" customWidth="1"/>
    <col min="15626" max="15626" width="9.85546875" bestFit="1" customWidth="1"/>
    <col min="15627" max="15627" width="11.28515625" customWidth="1"/>
    <col min="15628" max="15635" width="9.85546875" customWidth="1"/>
    <col min="15636" max="15636" width="9.28515625" bestFit="1" customWidth="1"/>
    <col min="15637" max="15637" width="13.5703125" customWidth="1"/>
    <col min="15638" max="15638" width="9.7109375" customWidth="1"/>
    <col min="15639" max="15639" width="10.28515625" bestFit="1" customWidth="1"/>
    <col min="15873" max="15873" width="33.28515625" customWidth="1"/>
    <col min="15874" max="15874" width="13" customWidth="1"/>
    <col min="15875" max="15876" width="9.28515625" bestFit="1" customWidth="1"/>
    <col min="15877" max="15877" width="11.7109375" customWidth="1"/>
    <col min="15878" max="15878" width="9.85546875" bestFit="1" customWidth="1"/>
    <col min="15879" max="15879" width="11.7109375" customWidth="1"/>
    <col min="15880" max="15880" width="10.42578125" customWidth="1"/>
    <col min="15881" max="15881" width="9.28515625" bestFit="1" customWidth="1"/>
    <col min="15882" max="15882" width="9.85546875" bestFit="1" customWidth="1"/>
    <col min="15883" max="15883" width="11.28515625" customWidth="1"/>
    <col min="15884" max="15891" width="9.85546875" customWidth="1"/>
    <col min="15892" max="15892" width="9.28515625" bestFit="1" customWidth="1"/>
    <col min="15893" max="15893" width="13.5703125" customWidth="1"/>
    <col min="15894" max="15894" width="9.7109375" customWidth="1"/>
    <col min="15895" max="15895" width="10.28515625" bestFit="1" customWidth="1"/>
    <col min="16129" max="16129" width="33.28515625" customWidth="1"/>
    <col min="16130" max="16130" width="13" customWidth="1"/>
    <col min="16131" max="16132" width="9.28515625" bestFit="1" customWidth="1"/>
    <col min="16133" max="16133" width="11.7109375" customWidth="1"/>
    <col min="16134" max="16134" width="9.85546875" bestFit="1" customWidth="1"/>
    <col min="16135" max="16135" width="11.7109375" customWidth="1"/>
    <col min="16136" max="16136" width="10.42578125" customWidth="1"/>
    <col min="16137" max="16137" width="9.28515625" bestFit="1" customWidth="1"/>
    <col min="16138" max="16138" width="9.85546875" bestFit="1" customWidth="1"/>
    <col min="16139" max="16139" width="11.28515625" customWidth="1"/>
    <col min="16140" max="16147" width="9.85546875" customWidth="1"/>
    <col min="16148" max="16148" width="9.28515625" bestFit="1" customWidth="1"/>
    <col min="16149" max="16149" width="13.5703125" customWidth="1"/>
    <col min="16150" max="16150" width="9.7109375" customWidth="1"/>
    <col min="16151" max="16151" width="10.28515625" bestFit="1" customWidth="1"/>
  </cols>
  <sheetData>
    <row r="1" spans="1:44" ht="14.25" customHeight="1" thickBot="1" x14ac:dyDescent="0.3">
      <c r="A1" s="1"/>
      <c r="B1" s="2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S1" s="1"/>
      <c r="U1" s="1"/>
      <c r="W1" s="1"/>
      <c r="Y1" s="1"/>
      <c r="AA1" s="1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</row>
    <row r="2" spans="1:44" ht="20.25" customHeight="1" thickTop="1" thickBot="1" x14ac:dyDescent="0.3">
      <c r="A2" s="3"/>
      <c r="B2" s="4"/>
      <c r="C2" s="5"/>
      <c r="D2" s="5"/>
      <c r="E2" s="5"/>
      <c r="F2" s="5"/>
      <c r="G2" s="5"/>
      <c r="H2" s="5"/>
      <c r="I2" s="6"/>
      <c r="J2" s="83" t="s">
        <v>92</v>
      </c>
      <c r="K2" s="100" t="s">
        <v>25</v>
      </c>
      <c r="L2" s="101"/>
      <c r="M2" s="101"/>
      <c r="N2" s="101"/>
      <c r="O2" s="101"/>
      <c r="P2" s="38" t="s">
        <v>36</v>
      </c>
      <c r="Q2" s="39" t="s">
        <v>37</v>
      </c>
      <c r="W2" s="2"/>
    </row>
    <row r="3" spans="1:44" ht="14.25" customHeight="1" thickTop="1" x14ac:dyDescent="0.25">
      <c r="A3" s="2"/>
      <c r="B3" s="8"/>
      <c r="C3" s="9"/>
      <c r="D3" s="7"/>
      <c r="E3" s="7"/>
      <c r="F3" s="7"/>
      <c r="G3" s="7"/>
      <c r="H3" s="7"/>
      <c r="I3" s="7"/>
      <c r="J3" s="84">
        <v>12</v>
      </c>
      <c r="K3" s="102" t="s">
        <v>20</v>
      </c>
      <c r="L3" s="103"/>
      <c r="M3" s="103"/>
      <c r="N3" s="103"/>
      <c r="O3" s="103"/>
      <c r="P3" s="71">
        <f t="shared" ref="P3:P15" si="0">SUMIF($Q$26:$Q$132,Q3,$P$26:$P$132)</f>
        <v>1757</v>
      </c>
      <c r="Q3" s="72">
        <v>20</v>
      </c>
      <c r="W3" s="2"/>
    </row>
    <row r="4" spans="1:44" ht="14.25" customHeight="1" x14ac:dyDescent="0.25">
      <c r="A4" s="2"/>
      <c r="B4" s="8"/>
      <c r="C4" s="9"/>
      <c r="D4" s="7"/>
      <c r="E4" s="7"/>
      <c r="F4" s="7"/>
      <c r="G4" s="7"/>
      <c r="H4" s="7"/>
      <c r="I4" s="7"/>
      <c r="J4" s="85">
        <v>14</v>
      </c>
      <c r="K4" s="104" t="s">
        <v>108</v>
      </c>
      <c r="L4" s="105"/>
      <c r="M4" s="105"/>
      <c r="N4" s="105"/>
      <c r="O4" s="105"/>
      <c r="P4" s="73">
        <f t="shared" si="0"/>
        <v>2444</v>
      </c>
      <c r="Q4" s="74">
        <v>25</v>
      </c>
      <c r="W4" s="2"/>
    </row>
    <row r="5" spans="1:44" ht="14.25" customHeight="1" x14ac:dyDescent="0.25">
      <c r="A5" s="2"/>
      <c r="B5" s="8"/>
      <c r="C5" s="9"/>
      <c r="D5" s="7"/>
      <c r="E5" s="7"/>
      <c r="F5" s="7"/>
      <c r="G5" s="7"/>
      <c r="H5" s="7"/>
      <c r="I5" s="7"/>
      <c r="J5" s="86">
        <v>15</v>
      </c>
      <c r="K5" s="106" t="s">
        <v>77</v>
      </c>
      <c r="L5" s="107"/>
      <c r="M5" s="107"/>
      <c r="N5" s="107"/>
      <c r="O5" s="107"/>
      <c r="P5" s="75">
        <f t="shared" si="0"/>
        <v>99</v>
      </c>
      <c r="Q5" s="76">
        <v>71</v>
      </c>
      <c r="W5" s="2"/>
    </row>
    <row r="6" spans="1:44" ht="14.25" customHeight="1" x14ac:dyDescent="0.25">
      <c r="A6" s="2"/>
      <c r="B6" s="8"/>
      <c r="C6" s="9"/>
      <c r="D6" s="7"/>
      <c r="E6" s="7"/>
      <c r="F6" s="7"/>
      <c r="G6" s="7"/>
      <c r="H6" s="7"/>
      <c r="I6" s="7"/>
      <c r="J6" s="85">
        <v>16</v>
      </c>
      <c r="K6" s="104" t="s">
        <v>78</v>
      </c>
      <c r="L6" s="105"/>
      <c r="M6" s="105"/>
      <c r="N6" s="105"/>
      <c r="O6" s="105"/>
      <c r="P6" s="73">
        <f t="shared" si="0"/>
        <v>0</v>
      </c>
      <c r="Q6" s="74">
        <v>21</v>
      </c>
      <c r="W6" s="2"/>
    </row>
    <row r="7" spans="1:44" ht="14.25" customHeight="1" x14ac:dyDescent="0.25">
      <c r="A7" s="2"/>
      <c r="B7" s="8"/>
      <c r="C7" s="9"/>
      <c r="D7" s="7"/>
      <c r="E7" s="7"/>
      <c r="F7" s="7"/>
      <c r="G7" s="7"/>
      <c r="H7" s="7"/>
      <c r="I7" s="7"/>
      <c r="J7" s="86">
        <v>17</v>
      </c>
      <c r="K7" s="106" t="s">
        <v>79</v>
      </c>
      <c r="L7" s="107"/>
      <c r="M7" s="107"/>
      <c r="N7" s="107"/>
      <c r="O7" s="107"/>
      <c r="P7" s="75">
        <f t="shared" si="0"/>
        <v>0</v>
      </c>
      <c r="Q7" s="76">
        <v>56</v>
      </c>
      <c r="W7" s="2"/>
    </row>
    <row r="8" spans="1:44" ht="14.25" customHeight="1" x14ac:dyDescent="0.25">
      <c r="A8" s="2"/>
      <c r="B8" s="8"/>
      <c r="C8" s="9"/>
      <c r="D8" s="7"/>
      <c r="E8" s="7"/>
      <c r="F8" s="7"/>
      <c r="G8" s="7"/>
      <c r="H8" s="7"/>
      <c r="I8" s="7"/>
      <c r="J8" s="85">
        <v>18</v>
      </c>
      <c r="K8" s="104" t="s">
        <v>80</v>
      </c>
      <c r="L8" s="105"/>
      <c r="M8" s="105"/>
      <c r="N8" s="105"/>
      <c r="O8" s="105"/>
      <c r="P8" s="73">
        <f t="shared" si="0"/>
        <v>0</v>
      </c>
      <c r="Q8" s="74">
        <v>23</v>
      </c>
      <c r="W8" s="2"/>
    </row>
    <row r="9" spans="1:44" ht="14.25" customHeight="1" x14ac:dyDescent="0.25">
      <c r="A9" s="2"/>
      <c r="B9" s="8"/>
      <c r="C9" s="9"/>
      <c r="D9" s="7"/>
      <c r="E9" s="7"/>
      <c r="F9" s="7"/>
      <c r="G9" s="7"/>
      <c r="H9" s="7"/>
      <c r="I9" s="7"/>
      <c r="J9" s="86">
        <v>19</v>
      </c>
      <c r="K9" s="106" t="s">
        <v>81</v>
      </c>
      <c r="L9" s="107"/>
      <c r="M9" s="107"/>
      <c r="N9" s="107"/>
      <c r="O9" s="107"/>
      <c r="P9" s="75">
        <f t="shared" si="0"/>
        <v>0</v>
      </c>
      <c r="Q9" s="76">
        <v>24</v>
      </c>
      <c r="W9" s="2"/>
    </row>
    <row r="10" spans="1:44" ht="14.25" customHeight="1" x14ac:dyDescent="0.25">
      <c r="A10" s="2"/>
      <c r="B10" s="8"/>
      <c r="C10" s="9"/>
      <c r="D10" s="7"/>
      <c r="E10" s="7"/>
      <c r="F10" s="7"/>
      <c r="G10" s="7"/>
      <c r="H10" s="7"/>
      <c r="I10" s="7"/>
      <c r="J10" s="85">
        <v>20</v>
      </c>
      <c r="K10" s="104" t="s">
        <v>82</v>
      </c>
      <c r="L10" s="105"/>
      <c r="M10" s="105"/>
      <c r="N10" s="105"/>
      <c r="O10" s="105"/>
      <c r="P10" s="73">
        <f t="shared" si="0"/>
        <v>0</v>
      </c>
      <c r="Q10" s="74">
        <v>10</v>
      </c>
      <c r="W10" s="2"/>
    </row>
    <row r="11" spans="1:44" ht="14.25" customHeight="1" x14ac:dyDescent="0.25">
      <c r="A11" s="2"/>
      <c r="B11" s="8"/>
      <c r="C11" s="9"/>
      <c r="D11" s="7"/>
      <c r="E11" s="7"/>
      <c r="F11" s="7"/>
      <c r="G11" s="7"/>
      <c r="H11" s="7"/>
      <c r="I11" s="7"/>
      <c r="J11" s="86">
        <v>21</v>
      </c>
      <c r="K11" s="106" t="s">
        <v>83</v>
      </c>
      <c r="L11" s="107"/>
      <c r="M11" s="107"/>
      <c r="N11" s="107"/>
      <c r="O11" s="107"/>
      <c r="P11" s="75">
        <f t="shared" si="0"/>
        <v>0</v>
      </c>
      <c r="Q11" s="76">
        <v>11</v>
      </c>
      <c r="W11" s="2"/>
    </row>
    <row r="12" spans="1:44" ht="14.25" customHeight="1" x14ac:dyDescent="0.25">
      <c r="A12" s="2"/>
      <c r="B12" s="8"/>
      <c r="C12" s="9"/>
      <c r="D12" s="7"/>
      <c r="E12" s="7"/>
      <c r="F12" s="7"/>
      <c r="G12" s="7"/>
      <c r="H12" s="7"/>
      <c r="I12" s="7"/>
      <c r="J12" s="85">
        <v>22</v>
      </c>
      <c r="K12" s="104" t="s">
        <v>84</v>
      </c>
      <c r="L12" s="105"/>
      <c r="M12" s="105"/>
      <c r="N12" s="105"/>
      <c r="O12" s="105"/>
      <c r="P12" s="73">
        <f t="shared" si="0"/>
        <v>0</v>
      </c>
      <c r="Q12" s="74">
        <v>60</v>
      </c>
      <c r="W12" s="2"/>
    </row>
    <row r="13" spans="1:44" ht="14.25" customHeight="1" x14ac:dyDescent="0.25">
      <c r="A13" s="2"/>
      <c r="B13" s="8"/>
      <c r="C13" s="9"/>
      <c r="D13" s="7"/>
      <c r="E13" s="7"/>
      <c r="F13" s="7"/>
      <c r="G13" s="7"/>
      <c r="H13" s="7"/>
      <c r="I13" s="7"/>
      <c r="J13" s="86">
        <v>23</v>
      </c>
      <c r="K13" s="106" t="s">
        <v>85</v>
      </c>
      <c r="L13" s="107"/>
      <c r="M13" s="107"/>
      <c r="N13" s="107"/>
      <c r="O13" s="107"/>
      <c r="P13" s="75">
        <f t="shared" si="0"/>
        <v>2362</v>
      </c>
      <c r="Q13" s="76">
        <v>34</v>
      </c>
      <c r="W13" s="2"/>
    </row>
    <row r="14" spans="1:44" ht="14.25" customHeight="1" x14ac:dyDescent="0.25">
      <c r="A14" s="2"/>
      <c r="B14" s="8"/>
      <c r="C14" s="9"/>
      <c r="D14" s="7"/>
      <c r="E14" s="7"/>
      <c r="F14" s="7"/>
      <c r="G14" s="7"/>
      <c r="H14" s="7"/>
      <c r="I14" s="7"/>
      <c r="J14" s="85">
        <v>60</v>
      </c>
      <c r="K14" s="104" t="s">
        <v>86</v>
      </c>
      <c r="L14" s="105"/>
      <c r="M14" s="105"/>
      <c r="N14" s="105"/>
      <c r="O14" s="105"/>
      <c r="P14" s="73">
        <f t="shared" si="0"/>
        <v>11</v>
      </c>
      <c r="Q14" s="74">
        <v>41</v>
      </c>
      <c r="W14" s="2"/>
    </row>
    <row r="15" spans="1:44" ht="16.5" customHeight="1" x14ac:dyDescent="0.25">
      <c r="A15" s="2"/>
      <c r="B15" s="8"/>
      <c r="C15" s="9"/>
      <c r="D15" s="7"/>
      <c r="E15" s="7"/>
      <c r="F15" s="7"/>
      <c r="G15" s="7"/>
      <c r="H15" s="7"/>
      <c r="I15" s="7"/>
      <c r="J15" s="86">
        <v>2</v>
      </c>
      <c r="K15" s="106" t="s">
        <v>87</v>
      </c>
      <c r="L15" s="107"/>
      <c r="M15" s="107"/>
      <c r="N15" s="107"/>
      <c r="O15" s="107"/>
      <c r="P15" s="75">
        <f t="shared" si="0"/>
        <v>0</v>
      </c>
      <c r="Q15" s="76">
        <v>62</v>
      </c>
      <c r="W15" s="2"/>
    </row>
    <row r="16" spans="1:44" ht="15.75" hidden="1" x14ac:dyDescent="0.25">
      <c r="A16" s="3"/>
      <c r="B16" s="8"/>
      <c r="C16" s="9"/>
      <c r="D16" s="7"/>
      <c r="E16" s="7"/>
      <c r="F16" s="7"/>
      <c r="G16" s="7"/>
      <c r="H16" s="7"/>
      <c r="I16" s="7"/>
      <c r="J16" s="86"/>
      <c r="K16" s="106"/>
      <c r="L16" s="107"/>
      <c r="M16" s="107"/>
      <c r="N16" s="107"/>
      <c r="O16" s="107"/>
      <c r="P16" s="75"/>
      <c r="Q16" s="76"/>
      <c r="W16" s="2"/>
    </row>
    <row r="17" spans="1:28" ht="15.75" hidden="1" x14ac:dyDescent="0.25">
      <c r="A17" s="3"/>
      <c r="B17" s="8"/>
      <c r="C17" s="9"/>
      <c r="D17" s="7"/>
      <c r="E17" s="7"/>
      <c r="F17" s="7"/>
      <c r="G17" s="7"/>
      <c r="H17" s="7"/>
      <c r="I17" s="7"/>
      <c r="J17" s="85"/>
      <c r="K17" s="104"/>
      <c r="L17" s="105"/>
      <c r="M17" s="105"/>
      <c r="N17" s="105"/>
      <c r="O17" s="105"/>
      <c r="P17" s="73"/>
      <c r="Q17" s="74"/>
      <c r="W17" s="2"/>
    </row>
    <row r="18" spans="1:28" ht="15.75" hidden="1" x14ac:dyDescent="0.25">
      <c r="A18" s="3"/>
      <c r="B18" s="8"/>
      <c r="C18" s="9"/>
      <c r="D18" s="7"/>
      <c r="E18" s="7"/>
      <c r="F18" s="7"/>
      <c r="G18" s="7"/>
      <c r="H18" s="7"/>
      <c r="I18" s="7"/>
      <c r="J18" s="86"/>
      <c r="K18" s="106"/>
      <c r="L18" s="107"/>
      <c r="M18" s="107"/>
      <c r="N18" s="107"/>
      <c r="O18" s="107"/>
      <c r="P18" s="75"/>
      <c r="Q18" s="76"/>
      <c r="W18" s="2"/>
    </row>
    <row r="19" spans="1:28" ht="15.75" hidden="1" x14ac:dyDescent="0.25">
      <c r="A19" s="3"/>
      <c r="B19" s="8"/>
      <c r="C19" s="9"/>
      <c r="D19" s="7"/>
      <c r="E19" s="7"/>
      <c r="F19" s="7"/>
      <c r="G19" s="7"/>
      <c r="H19" s="7"/>
      <c r="I19" s="7"/>
      <c r="J19" s="85"/>
      <c r="K19" s="104"/>
      <c r="L19" s="105"/>
      <c r="M19" s="105"/>
      <c r="N19" s="105"/>
      <c r="O19" s="105"/>
      <c r="P19" s="73"/>
      <c r="Q19" s="74"/>
      <c r="W19" s="2"/>
    </row>
    <row r="20" spans="1:28" ht="15.75" hidden="1" x14ac:dyDescent="0.25">
      <c r="A20" s="3"/>
      <c r="B20" s="8"/>
      <c r="C20" s="9"/>
      <c r="D20" s="7"/>
      <c r="E20" s="7"/>
      <c r="F20" s="7"/>
      <c r="G20" s="7"/>
      <c r="H20" s="7"/>
      <c r="I20" s="7"/>
      <c r="J20" s="86"/>
      <c r="K20" s="106"/>
      <c r="L20" s="107"/>
      <c r="M20" s="107"/>
      <c r="N20" s="107"/>
      <c r="O20" s="107"/>
      <c r="P20" s="75"/>
      <c r="Q20" s="76"/>
      <c r="W20" s="2"/>
    </row>
    <row r="21" spans="1:28" ht="16.5" thickBot="1" x14ac:dyDescent="0.3">
      <c r="A21" s="10"/>
      <c r="B21" s="8"/>
      <c r="C21" s="7"/>
      <c r="D21" s="7"/>
      <c r="E21" s="7"/>
      <c r="F21" s="7"/>
      <c r="G21" s="7"/>
      <c r="H21" s="7"/>
      <c r="I21" s="7"/>
      <c r="J21" s="87"/>
      <c r="K21" s="108"/>
      <c r="L21" s="109"/>
      <c r="M21" s="109"/>
      <c r="N21" s="109"/>
      <c r="O21" s="109"/>
      <c r="P21" s="77"/>
      <c r="Q21" s="78"/>
      <c r="W21" s="2"/>
    </row>
    <row r="22" spans="1:28" ht="16.5" thickTop="1" x14ac:dyDescent="0.25">
      <c r="A22" s="36" t="s">
        <v>1</v>
      </c>
      <c r="B22" s="37">
        <f ca="1">EOMONTH(TODAY(),0)</f>
        <v>44135</v>
      </c>
      <c r="C22" s="35"/>
      <c r="D22" s="23"/>
      <c r="E22" s="24"/>
      <c r="F22" s="23"/>
      <c r="G22" s="23"/>
      <c r="H22" s="23"/>
      <c r="I22" s="23"/>
      <c r="J22" s="23"/>
      <c r="K22" s="28"/>
      <c r="L22" s="28"/>
      <c r="M22" s="28"/>
      <c r="N22" s="28"/>
      <c r="O22" s="28"/>
      <c r="P22" s="29">
        <f>SUM(P3:P21)</f>
        <v>6673</v>
      </c>
      <c r="Q22" s="30"/>
      <c r="W22" s="2"/>
    </row>
    <row r="23" spans="1:28" ht="14.25" customHeight="1" thickBot="1" x14ac:dyDescent="0.3">
      <c r="A23" s="26"/>
      <c r="B23" s="27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4"/>
      <c r="V23" s="25"/>
      <c r="W23" s="2"/>
    </row>
    <row r="24" spans="1:28" s="12" customFormat="1" ht="14.25" customHeight="1" x14ac:dyDescent="0.2">
      <c r="A24" s="92" t="s">
        <v>23</v>
      </c>
      <c r="B24" s="94" t="s">
        <v>24</v>
      </c>
      <c r="C24" s="90" t="s">
        <v>22</v>
      </c>
      <c r="D24" s="90" t="s">
        <v>26</v>
      </c>
      <c r="E24" s="90" t="s">
        <v>27</v>
      </c>
      <c r="F24" s="90" t="s">
        <v>28</v>
      </c>
      <c r="G24" s="90" t="s">
        <v>29</v>
      </c>
      <c r="H24" s="90" t="s">
        <v>30</v>
      </c>
      <c r="I24" s="90" t="s">
        <v>31</v>
      </c>
      <c r="J24" s="90" t="s">
        <v>8</v>
      </c>
      <c r="K24" s="90" t="s">
        <v>39</v>
      </c>
      <c r="L24" s="90" t="s">
        <v>32</v>
      </c>
      <c r="M24" s="90" t="s">
        <v>33</v>
      </c>
      <c r="N24" s="90" t="s">
        <v>34</v>
      </c>
      <c r="O24" s="90" t="s">
        <v>38</v>
      </c>
      <c r="P24" s="96" t="s">
        <v>35</v>
      </c>
      <c r="Q24" s="98" t="s">
        <v>0</v>
      </c>
      <c r="R24" s="11"/>
      <c r="S24" s="11"/>
      <c r="T24" s="11"/>
      <c r="U24" s="11"/>
      <c r="V24" s="11"/>
      <c r="W24" s="11"/>
    </row>
    <row r="25" spans="1:28" s="14" customFormat="1" ht="27" customHeight="1" thickBot="1" x14ac:dyDescent="0.25">
      <c r="A25" s="93"/>
      <c r="B25" s="95"/>
      <c r="C25" s="91"/>
      <c r="D25" s="91" t="s">
        <v>2</v>
      </c>
      <c r="E25" s="91" t="s">
        <v>3</v>
      </c>
      <c r="F25" s="91" t="s">
        <v>4</v>
      </c>
      <c r="G25" s="91" t="s">
        <v>5</v>
      </c>
      <c r="H25" s="91" t="s">
        <v>6</v>
      </c>
      <c r="I25" s="91" t="s">
        <v>7</v>
      </c>
      <c r="J25" s="91" t="s">
        <v>8</v>
      </c>
      <c r="K25" s="91" t="s">
        <v>9</v>
      </c>
      <c r="L25" s="91" t="s">
        <v>10</v>
      </c>
      <c r="M25" s="91" t="s">
        <v>11</v>
      </c>
      <c r="N25" s="91" t="s">
        <v>12</v>
      </c>
      <c r="O25" s="91" t="s">
        <v>12</v>
      </c>
      <c r="P25" s="97"/>
      <c r="Q25" s="99"/>
      <c r="R25" s="13"/>
      <c r="S25" s="13"/>
      <c r="T25" s="13"/>
      <c r="U25" s="13"/>
      <c r="V25" s="13"/>
      <c r="W25" s="13"/>
    </row>
    <row r="26" spans="1:28" ht="14.25" customHeight="1" x14ac:dyDescent="0.25">
      <c r="A26" s="40" t="s">
        <v>58</v>
      </c>
      <c r="B26" s="41">
        <v>100</v>
      </c>
      <c r="C26" s="42"/>
      <c r="D26" s="43">
        <v>100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4">
        <f t="shared" ref="P26:P57" si="1">IF(SUM(C26:O26)&lt;&gt;B26,"ERROR",IF(COUNT(C26:O26)&gt;1,"COUNT",SUM(C26:O26)))</f>
        <v>100</v>
      </c>
      <c r="Q26" s="45">
        <v>20</v>
      </c>
      <c r="W26" s="2"/>
      <c r="X26"/>
      <c r="Y26"/>
      <c r="Z26"/>
      <c r="AA26"/>
      <c r="AB26"/>
    </row>
    <row r="27" spans="1:28" ht="14.25" customHeight="1" x14ac:dyDescent="0.25">
      <c r="A27" s="46" t="s">
        <v>59</v>
      </c>
      <c r="B27" s="47">
        <v>2</v>
      </c>
      <c r="C27" s="48"/>
      <c r="D27" s="48">
        <v>2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9">
        <f t="shared" si="1"/>
        <v>2</v>
      </c>
      <c r="Q27" s="50">
        <v>20</v>
      </c>
      <c r="W27" s="2"/>
      <c r="X27"/>
      <c r="Y27"/>
      <c r="Z27"/>
      <c r="AA27"/>
      <c r="AB27"/>
    </row>
    <row r="28" spans="1:28" ht="14.25" customHeight="1" x14ac:dyDescent="0.25">
      <c r="A28" s="51" t="s">
        <v>60</v>
      </c>
      <c r="B28" s="52">
        <v>1545</v>
      </c>
      <c r="C28" s="53"/>
      <c r="D28" s="53">
        <v>1545</v>
      </c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 t="shared" si="1"/>
        <v>1545</v>
      </c>
      <c r="Q28" s="58">
        <v>20</v>
      </c>
      <c r="W28" s="2"/>
      <c r="X28"/>
      <c r="Y28"/>
      <c r="Z28"/>
      <c r="AA28"/>
      <c r="AB28"/>
    </row>
    <row r="29" spans="1:28" ht="14.25" customHeight="1" x14ac:dyDescent="0.25">
      <c r="A29" s="46" t="s">
        <v>61</v>
      </c>
      <c r="B29" s="47">
        <v>66</v>
      </c>
      <c r="C29" s="48"/>
      <c r="D29" s="48">
        <v>66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9">
        <f t="shared" si="1"/>
        <v>66</v>
      </c>
      <c r="Q29" s="50">
        <v>20</v>
      </c>
      <c r="W29" s="2"/>
      <c r="X29"/>
      <c r="Y29"/>
      <c r="Z29"/>
      <c r="AA29"/>
      <c r="AB29"/>
    </row>
    <row r="30" spans="1:28" ht="14.25" customHeight="1" x14ac:dyDescent="0.25">
      <c r="A30" s="51" t="s">
        <v>62</v>
      </c>
      <c r="B30" s="52">
        <v>22</v>
      </c>
      <c r="C30" s="53"/>
      <c r="D30" s="53"/>
      <c r="E30" s="53"/>
      <c r="F30" s="53"/>
      <c r="G30" s="53"/>
      <c r="H30" s="53">
        <v>22</v>
      </c>
      <c r="I30" s="53"/>
      <c r="J30" s="53"/>
      <c r="K30" s="53"/>
      <c r="L30" s="53"/>
      <c r="M30" s="53"/>
      <c r="N30" s="53"/>
      <c r="O30" s="53"/>
      <c r="P30" s="54">
        <f t="shared" si="1"/>
        <v>22</v>
      </c>
      <c r="Q30" s="58">
        <v>20</v>
      </c>
      <c r="W30" s="2"/>
      <c r="X30"/>
      <c r="Y30"/>
      <c r="Z30"/>
      <c r="AA30"/>
      <c r="AB30"/>
    </row>
    <row r="31" spans="1:28" ht="14.25" customHeight="1" x14ac:dyDescent="0.25">
      <c r="A31" s="46" t="s">
        <v>63</v>
      </c>
      <c r="B31" s="47">
        <v>11</v>
      </c>
      <c r="C31" s="48"/>
      <c r="D31" s="48">
        <v>11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9">
        <f t="shared" si="1"/>
        <v>11</v>
      </c>
      <c r="Q31" s="50">
        <v>20</v>
      </c>
      <c r="W31" s="2"/>
      <c r="X31"/>
      <c r="Y31"/>
      <c r="Z31"/>
      <c r="AA31"/>
      <c r="AB31"/>
    </row>
    <row r="32" spans="1:28" ht="14.25" customHeight="1" x14ac:dyDescent="0.25">
      <c r="A32" s="51" t="s">
        <v>64</v>
      </c>
      <c r="B32" s="52">
        <v>11</v>
      </c>
      <c r="C32" s="53"/>
      <c r="D32" s="53"/>
      <c r="E32" s="53"/>
      <c r="F32" s="53"/>
      <c r="G32" s="53"/>
      <c r="H32" s="53"/>
      <c r="I32" s="53"/>
      <c r="J32" s="53">
        <v>11</v>
      </c>
      <c r="K32" s="53"/>
      <c r="L32" s="53"/>
      <c r="M32" s="53"/>
      <c r="N32" s="53"/>
      <c r="O32" s="53"/>
      <c r="P32" s="54">
        <f t="shared" si="1"/>
        <v>11</v>
      </c>
      <c r="Q32" s="58">
        <v>20</v>
      </c>
      <c r="W32" s="2"/>
      <c r="X32"/>
      <c r="Y32"/>
      <c r="Z32"/>
      <c r="AA32"/>
      <c r="AB32"/>
    </row>
    <row r="33" spans="1:28" ht="14.25" customHeight="1" x14ac:dyDescent="0.25">
      <c r="A33" s="46" t="s">
        <v>65</v>
      </c>
      <c r="B33" s="47">
        <v>11</v>
      </c>
      <c r="C33" s="48"/>
      <c r="D33" s="48"/>
      <c r="E33" s="48"/>
      <c r="F33" s="48"/>
      <c r="G33" s="48"/>
      <c r="H33" s="48">
        <v>11</v>
      </c>
      <c r="I33" s="48"/>
      <c r="J33" s="48"/>
      <c r="K33" s="48"/>
      <c r="L33" s="48"/>
      <c r="M33" s="48"/>
      <c r="N33" s="48"/>
      <c r="O33" s="48"/>
      <c r="P33" s="49">
        <f t="shared" si="1"/>
        <v>11</v>
      </c>
      <c r="Q33" s="50">
        <v>71</v>
      </c>
      <c r="W33" s="2"/>
      <c r="X33"/>
      <c r="Y33"/>
      <c r="Z33"/>
      <c r="AA33"/>
      <c r="AB33"/>
    </row>
    <row r="34" spans="1:28" ht="14.25" customHeight="1" x14ac:dyDescent="0.25">
      <c r="A34" s="51" t="s">
        <v>66</v>
      </c>
      <c r="B34" s="55">
        <v>11</v>
      </c>
      <c r="C34" s="56"/>
      <c r="D34" s="56"/>
      <c r="E34" s="56"/>
      <c r="F34" s="56"/>
      <c r="G34" s="56">
        <v>11</v>
      </c>
      <c r="H34" s="56"/>
      <c r="I34" s="56"/>
      <c r="J34" s="56"/>
      <c r="K34" s="56"/>
      <c r="L34" s="56"/>
      <c r="M34" s="56"/>
      <c r="N34" s="56"/>
      <c r="O34" s="56"/>
      <c r="P34" s="57">
        <f t="shared" si="1"/>
        <v>11</v>
      </c>
      <c r="Q34" s="58">
        <v>71</v>
      </c>
      <c r="W34" s="2"/>
      <c r="X34"/>
      <c r="Y34"/>
      <c r="Z34"/>
      <c r="AA34"/>
      <c r="AB34"/>
    </row>
    <row r="35" spans="1:28" ht="14.25" customHeight="1" x14ac:dyDescent="0.25">
      <c r="A35" s="46" t="s">
        <v>67</v>
      </c>
      <c r="B35" s="47">
        <v>11</v>
      </c>
      <c r="C35" s="48"/>
      <c r="D35" s="48"/>
      <c r="E35" s="48"/>
      <c r="F35" s="48"/>
      <c r="G35" s="48"/>
      <c r="H35" s="48"/>
      <c r="I35" s="48"/>
      <c r="J35" s="48">
        <v>11</v>
      </c>
      <c r="K35" s="48"/>
      <c r="L35" s="48"/>
      <c r="M35" s="48"/>
      <c r="N35" s="48"/>
      <c r="O35" s="48"/>
      <c r="P35" s="49">
        <f t="shared" si="1"/>
        <v>11</v>
      </c>
      <c r="Q35" s="50">
        <v>71</v>
      </c>
      <c r="W35" s="2"/>
      <c r="X35"/>
      <c r="Y35"/>
      <c r="Z35"/>
      <c r="AA35"/>
      <c r="AB35"/>
    </row>
    <row r="36" spans="1:28" ht="14.25" customHeight="1" x14ac:dyDescent="0.25">
      <c r="A36" s="51" t="s">
        <v>68</v>
      </c>
      <c r="B36" s="55">
        <v>11</v>
      </c>
      <c r="C36" s="56"/>
      <c r="D36" s="56"/>
      <c r="E36" s="56"/>
      <c r="F36" s="56"/>
      <c r="G36" s="56"/>
      <c r="H36" s="56">
        <v>11</v>
      </c>
      <c r="I36" s="56"/>
      <c r="J36" s="56"/>
      <c r="K36" s="56"/>
      <c r="L36" s="56"/>
      <c r="M36" s="56"/>
      <c r="N36" s="56"/>
      <c r="O36" s="56"/>
      <c r="P36" s="57">
        <f t="shared" si="1"/>
        <v>11</v>
      </c>
      <c r="Q36" s="58">
        <v>71</v>
      </c>
      <c r="W36" s="2"/>
      <c r="X36"/>
      <c r="Y36"/>
      <c r="Z36"/>
      <c r="AA36"/>
      <c r="AB36"/>
    </row>
    <row r="37" spans="1:28" ht="14.25" customHeight="1" x14ac:dyDescent="0.25">
      <c r="A37" s="46" t="s">
        <v>69</v>
      </c>
      <c r="B37" s="47">
        <v>11</v>
      </c>
      <c r="C37" s="48"/>
      <c r="D37" s="48"/>
      <c r="E37" s="48"/>
      <c r="F37" s="48"/>
      <c r="G37" s="48"/>
      <c r="H37" s="48"/>
      <c r="I37" s="48"/>
      <c r="J37" s="48">
        <v>11</v>
      </c>
      <c r="K37" s="48"/>
      <c r="L37" s="48"/>
      <c r="M37" s="48"/>
      <c r="N37" s="48"/>
      <c r="O37" s="48"/>
      <c r="P37" s="49">
        <f t="shared" si="1"/>
        <v>11</v>
      </c>
      <c r="Q37" s="50">
        <v>71</v>
      </c>
      <c r="W37" s="2"/>
      <c r="X37"/>
      <c r="Y37"/>
      <c r="Z37"/>
      <c r="AA37"/>
      <c r="AB37"/>
    </row>
    <row r="38" spans="1:28" ht="14.25" customHeight="1" x14ac:dyDescent="0.25">
      <c r="A38" s="51" t="s">
        <v>70</v>
      </c>
      <c r="B38" s="55">
        <v>11</v>
      </c>
      <c r="C38" s="56"/>
      <c r="D38" s="56"/>
      <c r="E38" s="56"/>
      <c r="F38" s="56"/>
      <c r="G38" s="56"/>
      <c r="H38" s="56"/>
      <c r="I38" s="56"/>
      <c r="J38" s="56">
        <v>11</v>
      </c>
      <c r="K38" s="56"/>
      <c r="L38" s="56"/>
      <c r="M38" s="56"/>
      <c r="N38" s="56"/>
      <c r="O38" s="56"/>
      <c r="P38" s="57">
        <f t="shared" si="1"/>
        <v>11</v>
      </c>
      <c r="Q38" s="58">
        <v>71</v>
      </c>
      <c r="W38" s="2"/>
      <c r="X38"/>
      <c r="Y38"/>
      <c r="Z38"/>
      <c r="AA38"/>
      <c r="AB38"/>
    </row>
    <row r="39" spans="1:28" ht="14.25" customHeight="1" x14ac:dyDescent="0.25">
      <c r="A39" s="46" t="s">
        <v>71</v>
      </c>
      <c r="B39" s="47">
        <v>11</v>
      </c>
      <c r="C39" s="48"/>
      <c r="D39" s="48"/>
      <c r="E39" s="48"/>
      <c r="F39" s="48"/>
      <c r="G39" s="48"/>
      <c r="H39" s="48"/>
      <c r="I39" s="48"/>
      <c r="J39" s="48">
        <v>11</v>
      </c>
      <c r="K39" s="48"/>
      <c r="L39" s="48"/>
      <c r="M39" s="48"/>
      <c r="N39" s="48"/>
      <c r="O39" s="48"/>
      <c r="P39" s="49">
        <f t="shared" si="1"/>
        <v>11</v>
      </c>
      <c r="Q39" s="50">
        <v>71</v>
      </c>
      <c r="W39" s="2"/>
      <c r="X39"/>
      <c r="Y39"/>
      <c r="Z39"/>
      <c r="AA39"/>
      <c r="AB39"/>
    </row>
    <row r="40" spans="1:28" ht="14.25" customHeight="1" x14ac:dyDescent="0.25">
      <c r="A40" s="51" t="s">
        <v>72</v>
      </c>
      <c r="B40" s="55">
        <v>11</v>
      </c>
      <c r="C40" s="56"/>
      <c r="D40" s="56"/>
      <c r="E40" s="56"/>
      <c r="F40" s="56"/>
      <c r="G40" s="56"/>
      <c r="H40" s="56"/>
      <c r="I40" s="56"/>
      <c r="J40" s="56">
        <v>11</v>
      </c>
      <c r="K40" s="56"/>
      <c r="L40" s="56"/>
      <c r="M40" s="56"/>
      <c r="N40" s="56"/>
      <c r="O40" s="56"/>
      <c r="P40" s="57">
        <f t="shared" si="1"/>
        <v>11</v>
      </c>
      <c r="Q40" s="58">
        <v>41</v>
      </c>
      <c r="W40" s="2"/>
      <c r="X40"/>
      <c r="Y40"/>
      <c r="Z40"/>
      <c r="AA40"/>
      <c r="AB40"/>
    </row>
    <row r="41" spans="1:28" ht="14.25" customHeight="1" x14ac:dyDescent="0.25">
      <c r="A41" s="46" t="s">
        <v>73</v>
      </c>
      <c r="B41" s="47">
        <v>11</v>
      </c>
      <c r="C41" s="48"/>
      <c r="D41" s="48"/>
      <c r="E41" s="48"/>
      <c r="F41" s="48"/>
      <c r="G41" s="48"/>
      <c r="H41" s="48"/>
      <c r="I41" s="48"/>
      <c r="J41" s="48">
        <v>11</v>
      </c>
      <c r="K41" s="48"/>
      <c r="L41" s="48"/>
      <c r="M41" s="48"/>
      <c r="N41" s="48"/>
      <c r="O41" s="48"/>
      <c r="P41" s="49">
        <f t="shared" si="1"/>
        <v>11</v>
      </c>
      <c r="Q41" s="50">
        <v>71</v>
      </c>
      <c r="W41" s="2"/>
      <c r="X41"/>
      <c r="Y41"/>
      <c r="Z41"/>
      <c r="AA41"/>
      <c r="AB41"/>
    </row>
    <row r="42" spans="1:28" ht="14.25" customHeight="1" x14ac:dyDescent="0.25">
      <c r="A42" s="51" t="s">
        <v>74</v>
      </c>
      <c r="B42" s="55">
        <v>11</v>
      </c>
      <c r="C42" s="56"/>
      <c r="D42" s="56"/>
      <c r="E42" s="56"/>
      <c r="F42" s="56"/>
      <c r="G42" s="56"/>
      <c r="H42" s="56"/>
      <c r="I42" s="56"/>
      <c r="J42" s="56">
        <v>11</v>
      </c>
      <c r="K42" s="56"/>
      <c r="L42" s="56"/>
      <c r="M42" s="56"/>
      <c r="N42" s="56"/>
      <c r="O42" s="56"/>
      <c r="P42" s="57">
        <f t="shared" si="1"/>
        <v>11</v>
      </c>
      <c r="Q42" s="58">
        <v>71</v>
      </c>
      <c r="W42" s="2"/>
      <c r="X42"/>
      <c r="Y42"/>
      <c r="Z42"/>
      <c r="AA42"/>
      <c r="AB42"/>
    </row>
    <row r="43" spans="1:28" ht="14.25" customHeight="1" x14ac:dyDescent="0.25">
      <c r="A43" s="46" t="s">
        <v>75</v>
      </c>
      <c r="B43" s="47">
        <v>2</v>
      </c>
      <c r="C43" s="48"/>
      <c r="D43" s="48"/>
      <c r="E43" s="48"/>
      <c r="F43" s="48"/>
      <c r="G43" s="48"/>
      <c r="H43" s="48"/>
      <c r="I43" s="48"/>
      <c r="J43" s="48">
        <v>2</v>
      </c>
      <c r="K43" s="48"/>
      <c r="L43" s="48"/>
      <c r="M43" s="48"/>
      <c r="N43" s="48"/>
      <c r="O43" s="48"/>
      <c r="P43" s="49">
        <f t="shared" si="1"/>
        <v>2</v>
      </c>
      <c r="Q43" s="50">
        <v>34</v>
      </c>
      <c r="W43" s="2"/>
      <c r="X43"/>
      <c r="Y43"/>
      <c r="Z43"/>
      <c r="AA43"/>
      <c r="AB43"/>
    </row>
    <row r="44" spans="1:28" ht="14.25" customHeight="1" x14ac:dyDescent="0.25">
      <c r="A44" s="51" t="s">
        <v>75</v>
      </c>
      <c r="B44" s="55">
        <v>5</v>
      </c>
      <c r="C44" s="56"/>
      <c r="D44" s="56"/>
      <c r="E44" s="56"/>
      <c r="F44" s="56"/>
      <c r="G44" s="56"/>
      <c r="H44" s="56"/>
      <c r="I44" s="56"/>
      <c r="J44" s="56">
        <v>5</v>
      </c>
      <c r="K44" s="56"/>
      <c r="L44" s="56"/>
      <c r="M44" s="56"/>
      <c r="N44" s="56"/>
      <c r="O44" s="56"/>
      <c r="P44" s="57">
        <f t="shared" si="1"/>
        <v>5</v>
      </c>
      <c r="Q44" s="58">
        <v>34</v>
      </c>
      <c r="W44" s="2"/>
      <c r="X44"/>
      <c r="Y44"/>
      <c r="Z44"/>
      <c r="AA44"/>
      <c r="AB44"/>
    </row>
    <row r="45" spans="1:28" ht="14.25" customHeight="1" x14ac:dyDescent="0.25">
      <c r="A45" s="46" t="s">
        <v>75</v>
      </c>
      <c r="B45" s="47">
        <v>22</v>
      </c>
      <c r="C45" s="48"/>
      <c r="D45" s="48"/>
      <c r="E45" s="48"/>
      <c r="F45" s="48"/>
      <c r="G45" s="48"/>
      <c r="H45" s="48"/>
      <c r="I45" s="48"/>
      <c r="J45" s="48">
        <v>22</v>
      </c>
      <c r="K45" s="48"/>
      <c r="L45" s="48"/>
      <c r="M45" s="48"/>
      <c r="N45" s="48"/>
      <c r="O45" s="48"/>
      <c r="P45" s="49">
        <f t="shared" si="1"/>
        <v>22</v>
      </c>
      <c r="Q45" s="50">
        <v>34</v>
      </c>
      <c r="W45" s="2"/>
      <c r="X45"/>
      <c r="Y45"/>
      <c r="Z45"/>
      <c r="AA45"/>
      <c r="AB45"/>
    </row>
    <row r="46" spans="1:28" ht="14.25" customHeight="1" x14ac:dyDescent="0.25">
      <c r="A46" s="51" t="s">
        <v>75</v>
      </c>
      <c r="B46" s="55">
        <v>111</v>
      </c>
      <c r="C46" s="59"/>
      <c r="D46" s="56"/>
      <c r="E46" s="56"/>
      <c r="F46" s="56"/>
      <c r="G46" s="56"/>
      <c r="H46" s="56"/>
      <c r="I46" s="56"/>
      <c r="J46" s="56">
        <v>111</v>
      </c>
      <c r="K46" s="56"/>
      <c r="L46" s="56"/>
      <c r="M46" s="56"/>
      <c r="N46" s="56"/>
      <c r="O46" s="56"/>
      <c r="P46" s="57">
        <f t="shared" si="1"/>
        <v>111</v>
      </c>
      <c r="Q46" s="58">
        <v>34</v>
      </c>
      <c r="W46" s="2"/>
      <c r="X46"/>
      <c r="Y46"/>
      <c r="Z46"/>
      <c r="AA46"/>
      <c r="AB46"/>
    </row>
    <row r="47" spans="1:28" ht="14.25" customHeight="1" x14ac:dyDescent="0.25">
      <c r="A47" s="46" t="s">
        <v>76</v>
      </c>
      <c r="B47" s="47">
        <v>2222</v>
      </c>
      <c r="C47" s="48"/>
      <c r="D47" s="48"/>
      <c r="E47" s="48"/>
      <c r="F47" s="48"/>
      <c r="G47" s="48"/>
      <c r="H47" s="48"/>
      <c r="I47" s="48"/>
      <c r="J47" s="48">
        <v>2222</v>
      </c>
      <c r="K47" s="48"/>
      <c r="L47" s="48"/>
      <c r="M47" s="48"/>
      <c r="N47" s="48"/>
      <c r="O47" s="48"/>
      <c r="P47" s="49">
        <f t="shared" si="1"/>
        <v>2222</v>
      </c>
      <c r="Q47" s="50">
        <v>34</v>
      </c>
      <c r="W47" s="2"/>
      <c r="X47"/>
      <c r="Y47"/>
      <c r="Z47"/>
      <c r="AA47"/>
      <c r="AB47"/>
    </row>
    <row r="48" spans="1:28" ht="14.25" customHeight="1" x14ac:dyDescent="0.25">
      <c r="A48" s="51" t="s">
        <v>76</v>
      </c>
      <c r="B48" s="55">
        <v>222</v>
      </c>
      <c r="C48" s="59"/>
      <c r="D48" s="56"/>
      <c r="E48" s="56"/>
      <c r="F48" s="56"/>
      <c r="G48" s="56"/>
      <c r="H48" s="56"/>
      <c r="I48" s="56"/>
      <c r="J48" s="56">
        <v>222</v>
      </c>
      <c r="K48" s="56"/>
      <c r="L48" s="56"/>
      <c r="M48" s="56"/>
      <c r="N48" s="56"/>
      <c r="O48" s="56"/>
      <c r="P48" s="57">
        <f t="shared" si="1"/>
        <v>222</v>
      </c>
      <c r="Q48" s="58">
        <v>25</v>
      </c>
      <c r="W48" s="2"/>
      <c r="X48"/>
      <c r="Y48"/>
      <c r="Z48"/>
      <c r="AA48"/>
      <c r="AB48"/>
    </row>
    <row r="49" spans="1:28" ht="14.25" customHeight="1" x14ac:dyDescent="0.25">
      <c r="A49" s="46" t="s">
        <v>76</v>
      </c>
      <c r="B49" s="47">
        <v>2222</v>
      </c>
      <c r="C49" s="48"/>
      <c r="D49" s="48"/>
      <c r="E49" s="48"/>
      <c r="F49" s="48"/>
      <c r="G49" s="48"/>
      <c r="H49" s="48"/>
      <c r="I49" s="48"/>
      <c r="J49" s="48">
        <v>2222</v>
      </c>
      <c r="K49" s="48"/>
      <c r="L49" s="48"/>
      <c r="M49" s="48"/>
      <c r="N49" s="48"/>
      <c r="O49" s="48"/>
      <c r="P49" s="49">
        <f t="shared" si="1"/>
        <v>2222</v>
      </c>
      <c r="Q49" s="50">
        <v>25</v>
      </c>
      <c r="W49" s="2"/>
      <c r="X49"/>
      <c r="Y49"/>
      <c r="Z49"/>
      <c r="AA49"/>
      <c r="AB49"/>
    </row>
    <row r="50" spans="1:28" ht="14.25" hidden="1" customHeight="1" x14ac:dyDescent="0.25">
      <c r="A50" s="51"/>
      <c r="B50" s="55"/>
      <c r="C50" s="59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7">
        <f t="shared" si="1"/>
        <v>0</v>
      </c>
      <c r="Q50" s="58">
        <f t="shared" ref="Q50:Q51" si="2">IF(J50="",25,"Input")</f>
        <v>25</v>
      </c>
      <c r="W50" s="2"/>
      <c r="X50"/>
      <c r="Y50"/>
      <c r="Z50"/>
      <c r="AA50"/>
      <c r="AB50"/>
    </row>
    <row r="51" spans="1:28" ht="14.25" hidden="1" customHeight="1" x14ac:dyDescent="0.25">
      <c r="A51" s="46"/>
      <c r="B51" s="47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9">
        <f t="shared" si="1"/>
        <v>0</v>
      </c>
      <c r="Q51" s="50">
        <f t="shared" si="2"/>
        <v>25</v>
      </c>
      <c r="W51" s="2"/>
      <c r="X51"/>
      <c r="Y51"/>
      <c r="Z51"/>
      <c r="AA51"/>
      <c r="AB51"/>
    </row>
    <row r="52" spans="1:28" ht="14.25" hidden="1" customHeight="1" x14ac:dyDescent="0.25">
      <c r="A52" s="51"/>
      <c r="B52" s="55"/>
      <c r="C52" s="59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7">
        <f t="shared" si="1"/>
        <v>0</v>
      </c>
      <c r="Q52" s="58">
        <f t="shared" ref="Q52:Q81" si="3">IF(J52="",25,"Input")</f>
        <v>25</v>
      </c>
      <c r="W52" s="2"/>
      <c r="X52"/>
      <c r="Y52"/>
      <c r="Z52"/>
      <c r="AA52"/>
      <c r="AB52"/>
    </row>
    <row r="53" spans="1:28" ht="14.25" hidden="1" customHeight="1" x14ac:dyDescent="0.25">
      <c r="A53" s="46"/>
      <c r="B53" s="47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9">
        <f t="shared" si="1"/>
        <v>0</v>
      </c>
      <c r="Q53" s="50">
        <f t="shared" si="3"/>
        <v>25</v>
      </c>
      <c r="W53" s="2"/>
      <c r="X53"/>
      <c r="Y53"/>
      <c r="Z53"/>
      <c r="AA53"/>
      <c r="AB53"/>
    </row>
    <row r="54" spans="1:28" ht="14.25" hidden="1" customHeight="1" x14ac:dyDescent="0.25">
      <c r="A54" s="51"/>
      <c r="B54" s="5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7">
        <f t="shared" si="1"/>
        <v>0</v>
      </c>
      <c r="Q54" s="58">
        <f t="shared" si="3"/>
        <v>25</v>
      </c>
      <c r="W54" s="2"/>
      <c r="X54"/>
      <c r="Y54"/>
      <c r="Z54"/>
      <c r="AA54"/>
      <c r="AB54"/>
    </row>
    <row r="55" spans="1:28" ht="14.25" hidden="1" customHeight="1" x14ac:dyDescent="0.25">
      <c r="A55" s="46"/>
      <c r="B55" s="47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9">
        <f t="shared" si="1"/>
        <v>0</v>
      </c>
      <c r="Q55" s="50">
        <f t="shared" si="3"/>
        <v>25</v>
      </c>
      <c r="W55" s="2"/>
      <c r="X55"/>
      <c r="Y55"/>
      <c r="Z55"/>
      <c r="AA55"/>
      <c r="AB55"/>
    </row>
    <row r="56" spans="1:28" ht="14.25" hidden="1" customHeight="1" x14ac:dyDescent="0.25">
      <c r="A56" s="51"/>
      <c r="B56" s="55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7">
        <f t="shared" si="1"/>
        <v>0</v>
      </c>
      <c r="Q56" s="58">
        <f t="shared" si="3"/>
        <v>25</v>
      </c>
      <c r="W56" s="2"/>
      <c r="X56"/>
      <c r="Y56"/>
      <c r="Z56"/>
      <c r="AA56"/>
      <c r="AB56"/>
    </row>
    <row r="57" spans="1:28" ht="14.25" hidden="1" customHeight="1" x14ac:dyDescent="0.25">
      <c r="A57" s="46"/>
      <c r="B57" s="47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9">
        <f t="shared" si="1"/>
        <v>0</v>
      </c>
      <c r="Q57" s="50">
        <f t="shared" si="3"/>
        <v>25</v>
      </c>
      <c r="W57" s="2"/>
      <c r="X57"/>
      <c r="Y57"/>
      <c r="Z57"/>
      <c r="AA57"/>
      <c r="AB57"/>
    </row>
    <row r="58" spans="1:28" ht="14.25" hidden="1" customHeight="1" x14ac:dyDescent="0.25">
      <c r="A58" s="51"/>
      <c r="B58" s="5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7">
        <f t="shared" ref="P58:P89" si="4">IF(SUM(C58:O58)&lt;&gt;B58,"ERROR",IF(COUNT(C58:O58)&gt;1,"COUNT",SUM(C58:O58)))</f>
        <v>0</v>
      </c>
      <c r="Q58" s="58">
        <f t="shared" si="3"/>
        <v>25</v>
      </c>
      <c r="W58" s="2"/>
      <c r="X58"/>
      <c r="Y58"/>
      <c r="Z58"/>
      <c r="AA58"/>
      <c r="AB58"/>
    </row>
    <row r="59" spans="1:28" ht="14.25" hidden="1" customHeight="1" x14ac:dyDescent="0.25">
      <c r="A59" s="46"/>
      <c r="B59" s="47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9">
        <f t="shared" si="4"/>
        <v>0</v>
      </c>
      <c r="Q59" s="50">
        <f t="shared" si="3"/>
        <v>25</v>
      </c>
      <c r="W59" s="2"/>
      <c r="X59"/>
      <c r="Y59"/>
      <c r="Z59"/>
      <c r="AA59"/>
      <c r="AB59"/>
    </row>
    <row r="60" spans="1:28" ht="14.25" hidden="1" customHeight="1" x14ac:dyDescent="0.25">
      <c r="A60" s="51"/>
      <c r="B60" s="5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7">
        <f t="shared" si="4"/>
        <v>0</v>
      </c>
      <c r="Q60" s="58">
        <f t="shared" si="3"/>
        <v>25</v>
      </c>
      <c r="W60" s="2"/>
      <c r="X60"/>
      <c r="Y60"/>
      <c r="Z60"/>
      <c r="AA60"/>
      <c r="AB60"/>
    </row>
    <row r="61" spans="1:28" ht="14.25" hidden="1" customHeight="1" x14ac:dyDescent="0.25">
      <c r="A61" s="46"/>
      <c r="B61" s="47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9">
        <f t="shared" si="4"/>
        <v>0</v>
      </c>
      <c r="Q61" s="50">
        <f t="shared" si="3"/>
        <v>25</v>
      </c>
      <c r="W61" s="2"/>
      <c r="X61"/>
      <c r="Y61"/>
      <c r="Z61"/>
      <c r="AA61"/>
      <c r="AB61"/>
    </row>
    <row r="62" spans="1:28" ht="14.25" hidden="1" customHeight="1" x14ac:dyDescent="0.25">
      <c r="A62" s="51"/>
      <c r="B62" s="5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7">
        <f t="shared" si="4"/>
        <v>0</v>
      </c>
      <c r="Q62" s="58">
        <f t="shared" si="3"/>
        <v>25</v>
      </c>
      <c r="W62" s="2"/>
      <c r="X62"/>
      <c r="Y62"/>
      <c r="Z62"/>
      <c r="AA62"/>
      <c r="AB62"/>
    </row>
    <row r="63" spans="1:28" ht="14.25" hidden="1" customHeight="1" x14ac:dyDescent="0.25">
      <c r="A63" s="46"/>
      <c r="B63" s="47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9">
        <f t="shared" si="4"/>
        <v>0</v>
      </c>
      <c r="Q63" s="50">
        <f t="shared" si="3"/>
        <v>25</v>
      </c>
      <c r="W63" s="2"/>
      <c r="X63"/>
      <c r="Y63"/>
      <c r="Z63"/>
      <c r="AA63"/>
      <c r="AB63"/>
    </row>
    <row r="64" spans="1:28" ht="14.25" hidden="1" customHeight="1" x14ac:dyDescent="0.25">
      <c r="A64" s="51"/>
      <c r="B64" s="5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7">
        <f t="shared" si="4"/>
        <v>0</v>
      </c>
      <c r="Q64" s="58">
        <f t="shared" si="3"/>
        <v>25</v>
      </c>
      <c r="W64" s="2"/>
      <c r="X64"/>
      <c r="Y64"/>
      <c r="Z64"/>
      <c r="AA64"/>
      <c r="AB64"/>
    </row>
    <row r="65" spans="1:28" ht="14.25" hidden="1" customHeight="1" x14ac:dyDescent="0.25">
      <c r="A65" s="46"/>
      <c r="B65" s="47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9">
        <f t="shared" si="4"/>
        <v>0</v>
      </c>
      <c r="Q65" s="50">
        <f t="shared" si="3"/>
        <v>25</v>
      </c>
      <c r="W65" s="2"/>
      <c r="X65"/>
      <c r="Y65"/>
      <c r="Z65"/>
      <c r="AA65"/>
      <c r="AB65"/>
    </row>
    <row r="66" spans="1:28" ht="14.25" hidden="1" customHeight="1" x14ac:dyDescent="0.25">
      <c r="A66" s="51"/>
      <c r="B66" s="5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7">
        <f t="shared" si="4"/>
        <v>0</v>
      </c>
      <c r="Q66" s="58">
        <f t="shared" si="3"/>
        <v>25</v>
      </c>
      <c r="W66" s="2"/>
      <c r="X66"/>
      <c r="Y66"/>
      <c r="Z66"/>
      <c r="AA66"/>
      <c r="AB66"/>
    </row>
    <row r="67" spans="1:28" ht="14.25" hidden="1" customHeight="1" x14ac:dyDescent="0.25">
      <c r="A67" s="46"/>
      <c r="B67" s="47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9">
        <f t="shared" si="4"/>
        <v>0</v>
      </c>
      <c r="Q67" s="50">
        <f t="shared" si="3"/>
        <v>25</v>
      </c>
      <c r="W67" s="2"/>
      <c r="X67"/>
      <c r="Y67"/>
      <c r="Z67"/>
      <c r="AA67"/>
      <c r="AB67"/>
    </row>
    <row r="68" spans="1:28" ht="14.25" hidden="1" customHeight="1" x14ac:dyDescent="0.25">
      <c r="A68" s="51"/>
      <c r="B68" s="5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7">
        <f t="shared" si="4"/>
        <v>0</v>
      </c>
      <c r="Q68" s="58">
        <f t="shared" si="3"/>
        <v>25</v>
      </c>
      <c r="W68" s="2"/>
      <c r="X68"/>
      <c r="Y68"/>
      <c r="Z68"/>
      <c r="AA68"/>
      <c r="AB68"/>
    </row>
    <row r="69" spans="1:28" ht="14.25" hidden="1" customHeight="1" x14ac:dyDescent="0.25">
      <c r="A69" s="46"/>
      <c r="B69" s="47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9">
        <f t="shared" si="4"/>
        <v>0</v>
      </c>
      <c r="Q69" s="50">
        <f t="shared" si="3"/>
        <v>25</v>
      </c>
      <c r="W69" s="2"/>
      <c r="X69"/>
      <c r="Y69"/>
      <c r="Z69"/>
      <c r="AA69"/>
      <c r="AB69"/>
    </row>
    <row r="70" spans="1:28" ht="14.25" hidden="1" customHeight="1" x14ac:dyDescent="0.25">
      <c r="A70" s="51"/>
      <c r="B70" s="5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7">
        <f t="shared" si="4"/>
        <v>0</v>
      </c>
      <c r="Q70" s="58">
        <f t="shared" si="3"/>
        <v>25</v>
      </c>
      <c r="W70" s="2"/>
      <c r="X70"/>
      <c r="Y70"/>
      <c r="Z70"/>
      <c r="AA70"/>
      <c r="AB70"/>
    </row>
    <row r="71" spans="1:28" ht="14.25" hidden="1" customHeight="1" x14ac:dyDescent="0.25">
      <c r="A71" s="46"/>
      <c r="B71" s="47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9">
        <f t="shared" si="4"/>
        <v>0</v>
      </c>
      <c r="Q71" s="50">
        <f t="shared" si="3"/>
        <v>25</v>
      </c>
      <c r="W71" s="2"/>
      <c r="X71"/>
      <c r="Y71"/>
      <c r="Z71"/>
      <c r="AA71"/>
      <c r="AB71"/>
    </row>
    <row r="72" spans="1:28" ht="14.25" hidden="1" customHeight="1" x14ac:dyDescent="0.25">
      <c r="A72" s="51"/>
      <c r="B72" s="5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7">
        <f t="shared" si="4"/>
        <v>0</v>
      </c>
      <c r="Q72" s="58">
        <f t="shared" si="3"/>
        <v>25</v>
      </c>
      <c r="W72" s="2"/>
      <c r="X72"/>
      <c r="Y72"/>
      <c r="Z72"/>
      <c r="AA72"/>
      <c r="AB72"/>
    </row>
    <row r="73" spans="1:28" ht="14.25" hidden="1" customHeight="1" x14ac:dyDescent="0.25">
      <c r="A73" s="46"/>
      <c r="B73" s="47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9">
        <f t="shared" si="4"/>
        <v>0</v>
      </c>
      <c r="Q73" s="50">
        <f t="shared" si="3"/>
        <v>25</v>
      </c>
      <c r="W73" s="2"/>
      <c r="X73"/>
      <c r="Y73"/>
      <c r="Z73"/>
      <c r="AA73"/>
      <c r="AB73"/>
    </row>
    <row r="74" spans="1:28" ht="14.25" hidden="1" customHeight="1" x14ac:dyDescent="0.25">
      <c r="A74" s="51"/>
      <c r="B74" s="5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7">
        <f t="shared" si="4"/>
        <v>0</v>
      </c>
      <c r="Q74" s="58">
        <f t="shared" si="3"/>
        <v>25</v>
      </c>
      <c r="W74" s="2"/>
      <c r="X74"/>
      <c r="Y74"/>
      <c r="Z74"/>
      <c r="AA74"/>
      <c r="AB74"/>
    </row>
    <row r="75" spans="1:28" ht="14.25" hidden="1" customHeight="1" x14ac:dyDescent="0.25">
      <c r="A75" s="46"/>
      <c r="B75" s="47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9">
        <f t="shared" si="4"/>
        <v>0</v>
      </c>
      <c r="Q75" s="50">
        <f t="shared" si="3"/>
        <v>25</v>
      </c>
      <c r="W75" s="2"/>
      <c r="X75"/>
      <c r="Y75"/>
      <c r="Z75"/>
      <c r="AA75"/>
      <c r="AB75"/>
    </row>
    <row r="76" spans="1:28" ht="14.25" hidden="1" customHeight="1" x14ac:dyDescent="0.25">
      <c r="A76" s="51"/>
      <c r="B76" s="5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7">
        <f t="shared" si="4"/>
        <v>0</v>
      </c>
      <c r="Q76" s="58">
        <f t="shared" si="3"/>
        <v>25</v>
      </c>
      <c r="W76" s="2"/>
      <c r="X76"/>
      <c r="Y76"/>
      <c r="Z76"/>
      <c r="AA76"/>
      <c r="AB76"/>
    </row>
    <row r="77" spans="1:28" ht="14.25" hidden="1" customHeight="1" x14ac:dyDescent="0.25">
      <c r="A77" s="46"/>
      <c r="B77" s="47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9">
        <f t="shared" si="4"/>
        <v>0</v>
      </c>
      <c r="Q77" s="50">
        <f t="shared" si="3"/>
        <v>25</v>
      </c>
      <c r="W77" s="2"/>
      <c r="X77"/>
      <c r="Y77"/>
      <c r="Z77"/>
      <c r="AA77"/>
      <c r="AB77"/>
    </row>
    <row r="78" spans="1:28" ht="14.25" hidden="1" customHeight="1" x14ac:dyDescent="0.25">
      <c r="A78" s="51"/>
      <c r="B78" s="5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7">
        <f t="shared" si="4"/>
        <v>0</v>
      </c>
      <c r="Q78" s="58">
        <f t="shared" si="3"/>
        <v>25</v>
      </c>
      <c r="W78" s="2"/>
      <c r="X78"/>
      <c r="Y78"/>
      <c r="Z78"/>
      <c r="AA78"/>
      <c r="AB78"/>
    </row>
    <row r="79" spans="1:28" ht="14.25" hidden="1" customHeight="1" x14ac:dyDescent="0.25">
      <c r="A79" s="46"/>
      <c r="B79" s="47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9">
        <f t="shared" si="4"/>
        <v>0</v>
      </c>
      <c r="Q79" s="50">
        <f t="shared" si="3"/>
        <v>25</v>
      </c>
      <c r="W79" s="2"/>
      <c r="X79"/>
      <c r="Y79"/>
      <c r="Z79"/>
      <c r="AA79"/>
      <c r="AB79"/>
    </row>
    <row r="80" spans="1:28" ht="14.25" hidden="1" customHeight="1" x14ac:dyDescent="0.25">
      <c r="A80" s="51"/>
      <c r="B80" s="5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7">
        <f t="shared" si="4"/>
        <v>0</v>
      </c>
      <c r="Q80" s="58">
        <f t="shared" si="3"/>
        <v>25</v>
      </c>
      <c r="W80" s="2"/>
      <c r="X80"/>
      <c r="Y80"/>
      <c r="Z80"/>
      <c r="AA80"/>
      <c r="AB80"/>
    </row>
    <row r="81" spans="1:28" ht="14.25" hidden="1" customHeight="1" x14ac:dyDescent="0.25">
      <c r="A81" s="46"/>
      <c r="B81" s="47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9">
        <f t="shared" si="4"/>
        <v>0</v>
      </c>
      <c r="Q81" s="50">
        <f t="shared" si="3"/>
        <v>25</v>
      </c>
      <c r="W81" s="2"/>
      <c r="X81"/>
      <c r="Y81"/>
      <c r="Z81"/>
      <c r="AA81"/>
      <c r="AB81"/>
    </row>
    <row r="82" spans="1:28" ht="14.25" hidden="1" customHeight="1" x14ac:dyDescent="0.25">
      <c r="A82" s="51"/>
      <c r="B82" s="5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7">
        <f t="shared" si="4"/>
        <v>0</v>
      </c>
      <c r="Q82" s="58">
        <f t="shared" ref="Q82:Q113" si="5">IF(J82="",25,"Input")</f>
        <v>25</v>
      </c>
      <c r="W82" s="2"/>
      <c r="X82"/>
      <c r="Y82"/>
      <c r="Z82"/>
      <c r="AA82"/>
      <c r="AB82"/>
    </row>
    <row r="83" spans="1:28" ht="14.25" hidden="1" customHeight="1" x14ac:dyDescent="0.25">
      <c r="A83" s="46"/>
      <c r="B83" s="47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9">
        <f t="shared" si="4"/>
        <v>0</v>
      </c>
      <c r="Q83" s="50">
        <f t="shared" si="5"/>
        <v>25</v>
      </c>
      <c r="W83" s="2"/>
      <c r="X83"/>
      <c r="Y83"/>
      <c r="Z83"/>
      <c r="AA83"/>
      <c r="AB83"/>
    </row>
    <row r="84" spans="1:28" ht="14.25" hidden="1" customHeight="1" x14ac:dyDescent="0.25">
      <c r="A84" s="51"/>
      <c r="B84" s="5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7">
        <f t="shared" si="4"/>
        <v>0</v>
      </c>
      <c r="Q84" s="58">
        <f t="shared" si="5"/>
        <v>25</v>
      </c>
      <c r="W84" s="2"/>
      <c r="X84"/>
      <c r="Y84"/>
      <c r="Z84"/>
      <c r="AA84"/>
      <c r="AB84"/>
    </row>
    <row r="85" spans="1:28" ht="14.25" hidden="1" customHeight="1" x14ac:dyDescent="0.25">
      <c r="A85" s="46"/>
      <c r="B85" s="47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9">
        <f t="shared" si="4"/>
        <v>0</v>
      </c>
      <c r="Q85" s="50">
        <f t="shared" si="5"/>
        <v>25</v>
      </c>
      <c r="W85" s="2"/>
      <c r="X85"/>
      <c r="Y85"/>
      <c r="Z85"/>
      <c r="AA85"/>
      <c r="AB85"/>
    </row>
    <row r="86" spans="1:28" ht="14.25" hidden="1" customHeight="1" x14ac:dyDescent="0.25">
      <c r="A86" s="51"/>
      <c r="B86" s="5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7">
        <f t="shared" si="4"/>
        <v>0</v>
      </c>
      <c r="Q86" s="58">
        <f t="shared" si="5"/>
        <v>25</v>
      </c>
      <c r="W86" s="2"/>
      <c r="X86"/>
      <c r="Y86"/>
      <c r="Z86"/>
      <c r="AA86"/>
      <c r="AB86"/>
    </row>
    <row r="87" spans="1:28" ht="14.25" hidden="1" customHeight="1" x14ac:dyDescent="0.25">
      <c r="A87" s="46"/>
      <c r="B87" s="47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9">
        <f t="shared" si="4"/>
        <v>0</v>
      </c>
      <c r="Q87" s="50">
        <f t="shared" si="5"/>
        <v>25</v>
      </c>
      <c r="W87" s="2"/>
      <c r="X87"/>
      <c r="Y87"/>
      <c r="Z87"/>
      <c r="AA87"/>
      <c r="AB87"/>
    </row>
    <row r="88" spans="1:28" ht="14.25" hidden="1" customHeight="1" x14ac:dyDescent="0.25">
      <c r="A88" s="51"/>
      <c r="B88" s="5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7">
        <f t="shared" si="4"/>
        <v>0</v>
      </c>
      <c r="Q88" s="58">
        <f t="shared" si="5"/>
        <v>25</v>
      </c>
      <c r="W88" s="2"/>
      <c r="X88"/>
      <c r="Y88"/>
      <c r="Z88"/>
      <c r="AA88"/>
      <c r="AB88"/>
    </row>
    <row r="89" spans="1:28" ht="14.25" hidden="1" customHeight="1" x14ac:dyDescent="0.25">
      <c r="A89" s="46"/>
      <c r="B89" s="47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9">
        <f t="shared" si="4"/>
        <v>0</v>
      </c>
      <c r="Q89" s="50">
        <f t="shared" si="5"/>
        <v>25</v>
      </c>
      <c r="W89" s="2"/>
      <c r="X89"/>
      <c r="Y89"/>
      <c r="Z89"/>
      <c r="AA89"/>
      <c r="AB89"/>
    </row>
    <row r="90" spans="1:28" ht="14.25" hidden="1" customHeight="1" x14ac:dyDescent="0.25">
      <c r="A90" s="51"/>
      <c r="B90" s="5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7">
        <f t="shared" ref="P90:P121" si="6">IF(SUM(C90:O90)&lt;&gt;B90,"ERROR",IF(COUNT(C90:O90)&gt;1,"COUNT",SUM(C90:O90)))</f>
        <v>0</v>
      </c>
      <c r="Q90" s="58">
        <f t="shared" si="5"/>
        <v>25</v>
      </c>
      <c r="W90" s="2"/>
      <c r="X90"/>
      <c r="Y90"/>
      <c r="Z90"/>
      <c r="AA90"/>
      <c r="AB90"/>
    </row>
    <row r="91" spans="1:28" ht="14.25" hidden="1" customHeight="1" x14ac:dyDescent="0.25">
      <c r="A91" s="46"/>
      <c r="B91" s="47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9">
        <f t="shared" si="6"/>
        <v>0</v>
      </c>
      <c r="Q91" s="50">
        <f t="shared" si="5"/>
        <v>25</v>
      </c>
      <c r="W91" s="2"/>
      <c r="X91"/>
      <c r="Y91"/>
      <c r="Z91"/>
      <c r="AA91"/>
      <c r="AB91"/>
    </row>
    <row r="92" spans="1:28" ht="14.25" hidden="1" customHeight="1" x14ac:dyDescent="0.25">
      <c r="A92" s="51"/>
      <c r="B92" s="5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7">
        <f t="shared" si="6"/>
        <v>0</v>
      </c>
      <c r="Q92" s="58">
        <f t="shared" si="5"/>
        <v>25</v>
      </c>
      <c r="W92" s="2"/>
      <c r="X92"/>
      <c r="Y92"/>
      <c r="Z92"/>
      <c r="AA92"/>
      <c r="AB92"/>
    </row>
    <row r="93" spans="1:28" ht="14.25" hidden="1" customHeight="1" x14ac:dyDescent="0.25">
      <c r="A93" s="46"/>
      <c r="B93" s="47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9">
        <f t="shared" si="6"/>
        <v>0</v>
      </c>
      <c r="Q93" s="50">
        <f t="shared" si="5"/>
        <v>25</v>
      </c>
      <c r="W93" s="2"/>
      <c r="X93"/>
      <c r="Y93"/>
      <c r="Z93"/>
      <c r="AA93"/>
      <c r="AB93"/>
    </row>
    <row r="94" spans="1:28" ht="14.25" hidden="1" customHeight="1" x14ac:dyDescent="0.25">
      <c r="A94" s="51"/>
      <c r="B94" s="5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7">
        <f t="shared" si="6"/>
        <v>0</v>
      </c>
      <c r="Q94" s="58">
        <f t="shared" si="5"/>
        <v>25</v>
      </c>
      <c r="W94" s="2"/>
      <c r="X94"/>
      <c r="Y94"/>
      <c r="Z94"/>
      <c r="AA94"/>
      <c r="AB94"/>
    </row>
    <row r="95" spans="1:28" ht="14.25" hidden="1" customHeight="1" x14ac:dyDescent="0.25">
      <c r="A95" s="46"/>
      <c r="B95" s="47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9">
        <f t="shared" si="6"/>
        <v>0</v>
      </c>
      <c r="Q95" s="50">
        <f t="shared" si="5"/>
        <v>25</v>
      </c>
      <c r="W95" s="2"/>
      <c r="X95"/>
      <c r="Y95"/>
      <c r="Z95"/>
      <c r="AA95"/>
      <c r="AB95"/>
    </row>
    <row r="96" spans="1:28" ht="14.25" hidden="1" customHeight="1" x14ac:dyDescent="0.25">
      <c r="A96" s="51"/>
      <c r="B96" s="5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7">
        <f t="shared" si="6"/>
        <v>0</v>
      </c>
      <c r="Q96" s="58">
        <f t="shared" si="5"/>
        <v>25</v>
      </c>
      <c r="W96" s="2"/>
      <c r="X96"/>
      <c r="Y96"/>
      <c r="Z96"/>
      <c r="AA96"/>
      <c r="AB96"/>
    </row>
    <row r="97" spans="1:28" ht="14.25" hidden="1" customHeight="1" x14ac:dyDescent="0.25">
      <c r="A97" s="46"/>
      <c r="B97" s="47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9">
        <f t="shared" si="6"/>
        <v>0</v>
      </c>
      <c r="Q97" s="50">
        <f t="shared" si="5"/>
        <v>25</v>
      </c>
      <c r="W97" s="2"/>
      <c r="X97"/>
      <c r="Y97"/>
      <c r="Z97"/>
      <c r="AA97"/>
      <c r="AB97"/>
    </row>
    <row r="98" spans="1:28" ht="14.25" hidden="1" customHeight="1" x14ac:dyDescent="0.25">
      <c r="A98" s="51"/>
      <c r="B98" s="5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7">
        <f t="shared" si="6"/>
        <v>0</v>
      </c>
      <c r="Q98" s="58">
        <f t="shared" si="5"/>
        <v>25</v>
      </c>
      <c r="W98" s="2"/>
      <c r="X98"/>
      <c r="Y98"/>
      <c r="Z98"/>
      <c r="AA98"/>
      <c r="AB98"/>
    </row>
    <row r="99" spans="1:28" ht="14.25" hidden="1" customHeight="1" x14ac:dyDescent="0.25">
      <c r="A99" s="46"/>
      <c r="B99" s="47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9">
        <f t="shared" si="6"/>
        <v>0</v>
      </c>
      <c r="Q99" s="50">
        <f t="shared" si="5"/>
        <v>25</v>
      </c>
      <c r="W99" s="2"/>
      <c r="X99"/>
      <c r="Y99"/>
      <c r="Z99"/>
      <c r="AA99"/>
      <c r="AB99"/>
    </row>
    <row r="100" spans="1:28" ht="14.25" hidden="1" customHeight="1" x14ac:dyDescent="0.25">
      <c r="A100" s="51"/>
      <c r="B100" s="5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7">
        <f t="shared" si="6"/>
        <v>0</v>
      </c>
      <c r="Q100" s="58">
        <f t="shared" si="5"/>
        <v>25</v>
      </c>
      <c r="W100" s="2"/>
      <c r="X100"/>
      <c r="Y100"/>
      <c r="Z100"/>
      <c r="AA100"/>
      <c r="AB100"/>
    </row>
    <row r="101" spans="1:28" ht="14.25" hidden="1" customHeight="1" x14ac:dyDescent="0.25">
      <c r="A101" s="46"/>
      <c r="B101" s="47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9">
        <f t="shared" si="6"/>
        <v>0</v>
      </c>
      <c r="Q101" s="50">
        <f t="shared" si="5"/>
        <v>25</v>
      </c>
      <c r="W101" s="2"/>
      <c r="X101"/>
      <c r="Y101"/>
      <c r="Z101"/>
      <c r="AA101"/>
      <c r="AB101"/>
    </row>
    <row r="102" spans="1:28" ht="14.25" hidden="1" customHeight="1" x14ac:dyDescent="0.25">
      <c r="A102" s="51"/>
      <c r="B102" s="5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7">
        <f t="shared" si="6"/>
        <v>0</v>
      </c>
      <c r="Q102" s="58">
        <f t="shared" si="5"/>
        <v>25</v>
      </c>
      <c r="W102" s="2"/>
      <c r="X102"/>
      <c r="Y102"/>
      <c r="Z102"/>
      <c r="AA102"/>
      <c r="AB102"/>
    </row>
    <row r="103" spans="1:28" ht="14.25" hidden="1" customHeight="1" x14ac:dyDescent="0.25">
      <c r="A103" s="46"/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9">
        <f t="shared" si="6"/>
        <v>0</v>
      </c>
      <c r="Q103" s="50">
        <f t="shared" si="5"/>
        <v>25</v>
      </c>
      <c r="W103" s="2"/>
      <c r="X103"/>
      <c r="Y103"/>
      <c r="Z103"/>
      <c r="AA103"/>
      <c r="AB103"/>
    </row>
    <row r="104" spans="1:28" ht="14.25" hidden="1" customHeight="1" x14ac:dyDescent="0.25">
      <c r="A104" s="51"/>
      <c r="B104" s="5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7">
        <f t="shared" si="6"/>
        <v>0</v>
      </c>
      <c r="Q104" s="58">
        <f t="shared" si="5"/>
        <v>25</v>
      </c>
      <c r="W104" s="2"/>
      <c r="X104"/>
      <c r="Y104"/>
      <c r="Z104"/>
      <c r="AA104"/>
      <c r="AB104"/>
    </row>
    <row r="105" spans="1:28" ht="14.25" hidden="1" customHeight="1" x14ac:dyDescent="0.25">
      <c r="A105" s="46"/>
      <c r="B105" s="47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9">
        <f t="shared" si="6"/>
        <v>0</v>
      </c>
      <c r="Q105" s="50">
        <f t="shared" si="5"/>
        <v>25</v>
      </c>
      <c r="W105" s="2"/>
      <c r="X105"/>
      <c r="Y105"/>
      <c r="Z105"/>
      <c r="AA105"/>
      <c r="AB105"/>
    </row>
    <row r="106" spans="1:28" ht="14.25" hidden="1" customHeight="1" x14ac:dyDescent="0.25">
      <c r="A106" s="51"/>
      <c r="B106" s="5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7">
        <f t="shared" si="6"/>
        <v>0</v>
      </c>
      <c r="Q106" s="58">
        <f t="shared" si="5"/>
        <v>25</v>
      </c>
      <c r="W106" s="2"/>
      <c r="X106"/>
      <c r="Y106"/>
      <c r="Z106"/>
      <c r="AA106"/>
      <c r="AB106"/>
    </row>
    <row r="107" spans="1:28" ht="14.25" hidden="1" customHeight="1" x14ac:dyDescent="0.25">
      <c r="A107" s="46"/>
      <c r="B107" s="47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9">
        <f t="shared" si="6"/>
        <v>0</v>
      </c>
      <c r="Q107" s="50">
        <f t="shared" si="5"/>
        <v>25</v>
      </c>
      <c r="W107" s="2"/>
      <c r="X107"/>
      <c r="Y107"/>
      <c r="Z107"/>
      <c r="AA107"/>
      <c r="AB107"/>
    </row>
    <row r="108" spans="1:28" ht="14.25" hidden="1" customHeight="1" x14ac:dyDescent="0.25">
      <c r="A108" s="51"/>
      <c r="B108" s="5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7">
        <f t="shared" si="6"/>
        <v>0</v>
      </c>
      <c r="Q108" s="58">
        <f t="shared" si="5"/>
        <v>25</v>
      </c>
      <c r="W108" s="2"/>
      <c r="X108"/>
      <c r="Y108"/>
      <c r="Z108"/>
      <c r="AA108"/>
      <c r="AB108"/>
    </row>
    <row r="109" spans="1:28" ht="14.25" hidden="1" customHeight="1" x14ac:dyDescent="0.25">
      <c r="A109" s="46"/>
      <c r="B109" s="47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9">
        <f t="shared" si="6"/>
        <v>0</v>
      </c>
      <c r="Q109" s="50">
        <f t="shared" si="5"/>
        <v>25</v>
      </c>
      <c r="W109" s="2"/>
      <c r="X109"/>
      <c r="Y109"/>
      <c r="Z109"/>
      <c r="AA109"/>
      <c r="AB109"/>
    </row>
    <row r="110" spans="1:28" ht="14.25" hidden="1" customHeight="1" x14ac:dyDescent="0.25">
      <c r="A110" s="51"/>
      <c r="B110" s="5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7">
        <f t="shared" si="6"/>
        <v>0</v>
      </c>
      <c r="Q110" s="58">
        <f t="shared" si="5"/>
        <v>25</v>
      </c>
      <c r="W110" s="2"/>
      <c r="X110"/>
      <c r="Y110"/>
      <c r="Z110"/>
      <c r="AA110"/>
      <c r="AB110"/>
    </row>
    <row r="111" spans="1:28" ht="14.25" hidden="1" customHeight="1" x14ac:dyDescent="0.25">
      <c r="A111" s="46"/>
      <c r="B111" s="47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9">
        <f t="shared" si="6"/>
        <v>0</v>
      </c>
      <c r="Q111" s="50">
        <f t="shared" si="5"/>
        <v>25</v>
      </c>
      <c r="W111" s="2"/>
      <c r="X111"/>
      <c r="Y111"/>
      <c r="Z111"/>
      <c r="AA111"/>
      <c r="AB111"/>
    </row>
    <row r="112" spans="1:28" ht="14.25" hidden="1" customHeight="1" x14ac:dyDescent="0.25">
      <c r="A112" s="51"/>
      <c r="B112" s="5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7">
        <f t="shared" si="6"/>
        <v>0</v>
      </c>
      <c r="Q112" s="58">
        <f t="shared" si="5"/>
        <v>25</v>
      </c>
      <c r="W112" s="2"/>
      <c r="X112"/>
      <c r="Y112"/>
      <c r="Z112"/>
      <c r="AA112"/>
      <c r="AB112"/>
    </row>
    <row r="113" spans="1:28" ht="14.25" hidden="1" customHeight="1" x14ac:dyDescent="0.25">
      <c r="A113" s="46"/>
      <c r="B113" s="47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9">
        <f t="shared" si="6"/>
        <v>0</v>
      </c>
      <c r="Q113" s="50">
        <f t="shared" si="5"/>
        <v>25</v>
      </c>
      <c r="W113" s="2"/>
      <c r="X113"/>
      <c r="Y113"/>
      <c r="Z113"/>
      <c r="AA113"/>
      <c r="AB113"/>
    </row>
    <row r="114" spans="1:28" ht="14.25" hidden="1" customHeight="1" x14ac:dyDescent="0.25">
      <c r="A114" s="51"/>
      <c r="B114" s="5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7">
        <f t="shared" si="6"/>
        <v>0</v>
      </c>
      <c r="Q114" s="58">
        <f t="shared" ref="Q114:Q131" si="7">IF(J114="",25,"Input")</f>
        <v>25</v>
      </c>
      <c r="W114" s="2"/>
      <c r="X114"/>
      <c r="Y114"/>
      <c r="Z114"/>
      <c r="AA114"/>
      <c r="AB114"/>
    </row>
    <row r="115" spans="1:28" ht="14.25" hidden="1" customHeight="1" x14ac:dyDescent="0.25">
      <c r="A115" s="46"/>
      <c r="B115" s="47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9">
        <f t="shared" si="6"/>
        <v>0</v>
      </c>
      <c r="Q115" s="50">
        <f t="shared" si="7"/>
        <v>25</v>
      </c>
      <c r="W115" s="2"/>
      <c r="X115"/>
      <c r="Y115"/>
      <c r="Z115"/>
      <c r="AA115"/>
      <c r="AB115"/>
    </row>
    <row r="116" spans="1:28" ht="14.25" hidden="1" customHeight="1" x14ac:dyDescent="0.25">
      <c r="A116" s="51"/>
      <c r="B116" s="5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7">
        <f t="shared" si="6"/>
        <v>0</v>
      </c>
      <c r="Q116" s="58">
        <f t="shared" si="7"/>
        <v>25</v>
      </c>
      <c r="W116" s="2"/>
      <c r="X116"/>
      <c r="Y116"/>
      <c r="Z116"/>
      <c r="AA116"/>
      <c r="AB116"/>
    </row>
    <row r="117" spans="1:28" ht="14.25" hidden="1" customHeight="1" x14ac:dyDescent="0.25">
      <c r="A117" s="46"/>
      <c r="B117" s="47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9">
        <f t="shared" si="6"/>
        <v>0</v>
      </c>
      <c r="Q117" s="50">
        <f t="shared" si="7"/>
        <v>25</v>
      </c>
      <c r="W117" s="2"/>
      <c r="X117"/>
      <c r="Y117"/>
      <c r="Z117"/>
      <c r="AA117"/>
      <c r="AB117"/>
    </row>
    <row r="118" spans="1:28" ht="14.25" hidden="1" customHeight="1" x14ac:dyDescent="0.25">
      <c r="A118" s="51"/>
      <c r="B118" s="5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7">
        <f t="shared" si="6"/>
        <v>0</v>
      </c>
      <c r="Q118" s="58">
        <f t="shared" si="7"/>
        <v>25</v>
      </c>
      <c r="W118" s="2"/>
      <c r="X118"/>
      <c r="Y118"/>
      <c r="Z118"/>
      <c r="AA118"/>
      <c r="AB118"/>
    </row>
    <row r="119" spans="1:28" ht="14.25" hidden="1" customHeight="1" x14ac:dyDescent="0.25">
      <c r="A119" s="46"/>
      <c r="B119" s="47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9">
        <f t="shared" si="6"/>
        <v>0</v>
      </c>
      <c r="Q119" s="50">
        <f t="shared" si="7"/>
        <v>25</v>
      </c>
      <c r="W119" s="2"/>
      <c r="X119"/>
      <c r="Y119"/>
      <c r="Z119"/>
      <c r="AA119"/>
      <c r="AB119"/>
    </row>
    <row r="120" spans="1:28" ht="14.25" hidden="1" customHeight="1" x14ac:dyDescent="0.25">
      <c r="A120" s="51"/>
      <c r="B120" s="5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7">
        <f t="shared" si="6"/>
        <v>0</v>
      </c>
      <c r="Q120" s="58">
        <f t="shared" si="7"/>
        <v>25</v>
      </c>
      <c r="W120" s="2"/>
      <c r="X120"/>
      <c r="Y120"/>
      <c r="Z120"/>
      <c r="AA120"/>
      <c r="AB120"/>
    </row>
    <row r="121" spans="1:28" ht="14.25" hidden="1" customHeight="1" x14ac:dyDescent="0.25">
      <c r="A121" s="46"/>
      <c r="B121" s="47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9">
        <f t="shared" si="6"/>
        <v>0</v>
      </c>
      <c r="Q121" s="50">
        <f t="shared" si="7"/>
        <v>25</v>
      </c>
      <c r="W121" s="2"/>
      <c r="X121"/>
      <c r="Y121"/>
      <c r="Z121"/>
      <c r="AA121"/>
      <c r="AB121"/>
    </row>
    <row r="122" spans="1:28" ht="14.25" hidden="1" customHeight="1" x14ac:dyDescent="0.25">
      <c r="A122" s="51"/>
      <c r="B122" s="5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7">
        <f t="shared" ref="P122:P132" si="8">IF(SUM(C122:O122)&lt;&gt;B122,"ERROR",IF(COUNT(C122:O122)&gt;1,"COUNT",SUM(C122:O122)))</f>
        <v>0</v>
      </c>
      <c r="Q122" s="58">
        <f t="shared" si="7"/>
        <v>25</v>
      </c>
      <c r="W122" s="2"/>
      <c r="X122"/>
      <c r="Y122"/>
      <c r="Z122"/>
      <c r="AA122"/>
      <c r="AB122"/>
    </row>
    <row r="123" spans="1:28" ht="14.25" hidden="1" customHeight="1" x14ac:dyDescent="0.25">
      <c r="A123" s="46"/>
      <c r="B123" s="47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9">
        <f t="shared" si="8"/>
        <v>0</v>
      </c>
      <c r="Q123" s="50">
        <f t="shared" si="7"/>
        <v>25</v>
      </c>
      <c r="W123" s="2"/>
      <c r="X123"/>
      <c r="Y123"/>
      <c r="Z123"/>
      <c r="AA123"/>
      <c r="AB123"/>
    </row>
    <row r="124" spans="1:28" ht="14.25" hidden="1" customHeight="1" x14ac:dyDescent="0.25">
      <c r="A124" s="51"/>
      <c r="B124" s="5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7">
        <f t="shared" si="8"/>
        <v>0</v>
      </c>
      <c r="Q124" s="58">
        <f t="shared" si="7"/>
        <v>25</v>
      </c>
      <c r="W124" s="2"/>
      <c r="X124"/>
      <c r="Y124"/>
      <c r="Z124"/>
      <c r="AA124"/>
      <c r="AB124"/>
    </row>
    <row r="125" spans="1:28" ht="14.25" hidden="1" customHeight="1" x14ac:dyDescent="0.25">
      <c r="A125" s="46"/>
      <c r="B125" s="47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9">
        <f t="shared" si="8"/>
        <v>0</v>
      </c>
      <c r="Q125" s="50">
        <f t="shared" si="7"/>
        <v>25</v>
      </c>
      <c r="W125" s="2"/>
      <c r="X125"/>
      <c r="Y125"/>
      <c r="Z125"/>
      <c r="AA125"/>
      <c r="AB125"/>
    </row>
    <row r="126" spans="1:28" ht="14.25" hidden="1" customHeight="1" x14ac:dyDescent="0.25">
      <c r="A126" s="51"/>
      <c r="B126" s="5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7">
        <f t="shared" si="8"/>
        <v>0</v>
      </c>
      <c r="Q126" s="58">
        <f t="shared" si="7"/>
        <v>25</v>
      </c>
      <c r="W126" s="2"/>
      <c r="X126"/>
      <c r="Y126"/>
      <c r="Z126"/>
      <c r="AA126"/>
      <c r="AB126"/>
    </row>
    <row r="127" spans="1:28" ht="14.25" hidden="1" customHeight="1" x14ac:dyDescent="0.25">
      <c r="A127" s="46"/>
      <c r="B127" s="47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9">
        <f t="shared" si="8"/>
        <v>0</v>
      </c>
      <c r="Q127" s="50">
        <f t="shared" si="7"/>
        <v>25</v>
      </c>
      <c r="W127" s="2"/>
      <c r="X127"/>
      <c r="Y127"/>
      <c r="Z127"/>
      <c r="AA127"/>
      <c r="AB127"/>
    </row>
    <row r="128" spans="1:28" ht="14.25" hidden="1" customHeight="1" x14ac:dyDescent="0.25">
      <c r="A128" s="51"/>
      <c r="B128" s="5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7">
        <f t="shared" si="8"/>
        <v>0</v>
      </c>
      <c r="Q128" s="58">
        <f t="shared" si="7"/>
        <v>25</v>
      </c>
      <c r="W128" s="2"/>
      <c r="X128"/>
      <c r="Y128"/>
      <c r="Z128"/>
      <c r="AA128"/>
      <c r="AB128"/>
    </row>
    <row r="129" spans="1:28" ht="14.25" hidden="1" customHeight="1" x14ac:dyDescent="0.25">
      <c r="A129" s="46"/>
      <c r="B129" s="47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9">
        <f t="shared" si="8"/>
        <v>0</v>
      </c>
      <c r="Q129" s="50">
        <f t="shared" si="7"/>
        <v>25</v>
      </c>
      <c r="W129" s="2"/>
      <c r="X129"/>
      <c r="Y129"/>
      <c r="Z129"/>
      <c r="AA129"/>
      <c r="AB129"/>
    </row>
    <row r="130" spans="1:28" ht="14.25" hidden="1" customHeight="1" x14ac:dyDescent="0.25">
      <c r="A130" s="51"/>
      <c r="B130" s="5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7">
        <f t="shared" si="8"/>
        <v>0</v>
      </c>
      <c r="Q130" s="58">
        <f t="shared" si="7"/>
        <v>25</v>
      </c>
      <c r="W130" s="2"/>
      <c r="X130"/>
      <c r="Y130"/>
      <c r="Z130"/>
      <c r="AA130"/>
      <c r="AB130"/>
    </row>
    <row r="131" spans="1:28" ht="14.25" hidden="1" customHeight="1" x14ac:dyDescent="0.25">
      <c r="A131" s="46"/>
      <c r="B131" s="47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9">
        <f t="shared" si="8"/>
        <v>0</v>
      </c>
      <c r="Q131" s="50">
        <f t="shared" si="7"/>
        <v>25</v>
      </c>
      <c r="W131" s="2"/>
      <c r="X131"/>
      <c r="Y131"/>
      <c r="Z131"/>
      <c r="AA131"/>
      <c r="AB131"/>
    </row>
    <row r="132" spans="1:28" ht="14.25" hidden="1" customHeight="1" thickBot="1" x14ac:dyDescent="0.3">
      <c r="A132" s="60"/>
      <c r="B132" s="61"/>
      <c r="C132" s="62"/>
      <c r="D132" s="62"/>
      <c r="E132" s="62"/>
      <c r="F132" s="62"/>
      <c r="G132" s="62"/>
      <c r="H132" s="62"/>
      <c r="I132" s="62"/>
      <c r="J132" s="31"/>
      <c r="K132" s="62"/>
      <c r="L132" s="62"/>
      <c r="M132" s="62"/>
      <c r="N132" s="62"/>
      <c r="O132" s="62"/>
      <c r="P132" s="63">
        <f t="shared" si="8"/>
        <v>0</v>
      </c>
      <c r="Q132" s="64">
        <f>IF(K132="",25,"Input")</f>
        <v>25</v>
      </c>
      <c r="W132" s="2"/>
      <c r="X132"/>
      <c r="Y132"/>
      <c r="Z132"/>
      <c r="AA132"/>
      <c r="AB132"/>
    </row>
    <row r="133" spans="1:28" ht="14.25" customHeight="1" x14ac:dyDescent="0.25">
      <c r="A133" s="32"/>
      <c r="B133" s="33">
        <f>SUM(B26:B132)</f>
        <v>6673</v>
      </c>
      <c r="C133" s="33">
        <f>SUM(C26:C132)</f>
        <v>0</v>
      </c>
      <c r="D133" s="33">
        <f t="shared" ref="D133:O133" si="9">SUM(D26:D132)</f>
        <v>1724</v>
      </c>
      <c r="E133" s="33">
        <f t="shared" si="9"/>
        <v>0</v>
      </c>
      <c r="F133" s="33">
        <f t="shared" si="9"/>
        <v>0</v>
      </c>
      <c r="G133" s="33">
        <f t="shared" si="9"/>
        <v>11</v>
      </c>
      <c r="H133" s="33">
        <f t="shared" si="9"/>
        <v>44</v>
      </c>
      <c r="I133" s="33">
        <f t="shared" si="9"/>
        <v>0</v>
      </c>
      <c r="J133" s="33">
        <f t="shared" si="9"/>
        <v>4894</v>
      </c>
      <c r="K133" s="33">
        <f>SUM(K26:K132)</f>
        <v>0</v>
      </c>
      <c r="L133" s="33">
        <f t="shared" si="9"/>
        <v>0</v>
      </c>
      <c r="M133" s="33">
        <f t="shared" si="9"/>
        <v>0</v>
      </c>
      <c r="N133" s="33">
        <f t="shared" si="9"/>
        <v>0</v>
      </c>
      <c r="O133" s="33">
        <f t="shared" si="9"/>
        <v>0</v>
      </c>
      <c r="P133" s="33">
        <f>SUM(P26:P132)</f>
        <v>6673</v>
      </c>
      <c r="Q133" s="30"/>
      <c r="W133" s="2"/>
      <c r="X133"/>
      <c r="Y133"/>
      <c r="Z133"/>
      <c r="AA133"/>
      <c r="AB133"/>
    </row>
    <row r="134" spans="1:28" ht="14.2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W134" s="2"/>
    </row>
    <row r="135" spans="1:28" ht="14.2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W135" s="2"/>
    </row>
    <row r="136" spans="1:28" ht="14.2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W136" s="2"/>
    </row>
    <row r="137" spans="1:28" ht="14.2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W137" s="2"/>
    </row>
    <row r="138" spans="1:28" ht="14.2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W138" s="2"/>
    </row>
    <row r="139" spans="1:28" ht="14.2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W139" s="2"/>
    </row>
    <row r="140" spans="1:28" ht="14.2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W140" s="2"/>
    </row>
    <row r="141" spans="1:28" ht="14.2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W141" s="2"/>
    </row>
    <row r="142" spans="1:28" ht="14.2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W142" s="2"/>
    </row>
    <row r="143" spans="1:28" ht="14.2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W143" s="2"/>
    </row>
    <row r="144" spans="1:28" ht="14.2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W144" s="2"/>
    </row>
    <row r="145" spans="1:23" ht="14.2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W145" s="2"/>
    </row>
    <row r="146" spans="1:23" ht="14.2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W146" s="2"/>
    </row>
    <row r="147" spans="1:23" ht="14.2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W147" s="2"/>
    </row>
    <row r="148" spans="1:23" ht="14.2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W148" s="2"/>
    </row>
    <row r="149" spans="1:23" ht="14.2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W149" s="2"/>
    </row>
    <row r="150" spans="1:23" ht="14.2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W150" s="2"/>
    </row>
    <row r="151" spans="1:23" ht="14.2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W151" s="2"/>
    </row>
    <row r="152" spans="1:23" ht="14.2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W152" s="2"/>
    </row>
    <row r="153" spans="1:23" ht="14.2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W153" s="2"/>
    </row>
    <row r="154" spans="1:23" ht="14.2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W154" s="2"/>
    </row>
    <row r="155" spans="1:23" ht="14.2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W155" s="2"/>
    </row>
  </sheetData>
  <mergeCells count="37">
    <mergeCell ref="K14:O14"/>
    <mergeCell ref="K21:O21"/>
    <mergeCell ref="K15:O15"/>
    <mergeCell ref="K16:O16"/>
    <mergeCell ref="K17:O17"/>
    <mergeCell ref="K18:O18"/>
    <mergeCell ref="K19:O19"/>
    <mergeCell ref="K20:O20"/>
    <mergeCell ref="P24:P25"/>
    <mergeCell ref="Q24:Q25"/>
    <mergeCell ref="K2:O2"/>
    <mergeCell ref="K3:O3"/>
    <mergeCell ref="K4:O4"/>
    <mergeCell ref="K5:O5"/>
    <mergeCell ref="K6:O6"/>
    <mergeCell ref="K7:O7"/>
    <mergeCell ref="K8:O8"/>
    <mergeCell ref="K9:O9"/>
    <mergeCell ref="K10:O10"/>
    <mergeCell ref="K11:O11"/>
    <mergeCell ref="K12:O12"/>
    <mergeCell ref="K13:O13"/>
    <mergeCell ref="N24:N25"/>
    <mergeCell ref="O24:O25"/>
    <mergeCell ref="A24:A25"/>
    <mergeCell ref="B24:B25"/>
    <mergeCell ref="C24:C25"/>
    <mergeCell ref="D24:D25"/>
    <mergeCell ref="E24:E25"/>
    <mergeCell ref="K24:K25"/>
    <mergeCell ref="L24:L25"/>
    <mergeCell ref="M24:M25"/>
    <mergeCell ref="F24:F25"/>
    <mergeCell ref="G24:G25"/>
    <mergeCell ref="H24:H25"/>
    <mergeCell ref="I24:I25"/>
    <mergeCell ref="J24:J25"/>
  </mergeCells>
  <phoneticPr fontId="6" type="noConversion"/>
  <dataValidations count="1">
    <dataValidation type="textLength" operator="lessThanOrEqual" allowBlank="1" showInputMessage="1" showErrorMessage="1" sqref="K3:O21" xr:uid="{4E9769E6-1F5D-402F-9E76-21B2F1FCCE2D}">
      <formula1>G7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F511-D587-4E3B-AE83-403BAF8AAFE1}">
  <sheetPr codeName="Sheet2">
    <tabColor theme="4" tint="0.79998168889431442"/>
  </sheetPr>
  <dimension ref="A1:AJ84"/>
  <sheetViews>
    <sheetView zoomScale="90" zoomScaleNormal="90" workbookViewId="0">
      <selection activeCell="J16" sqref="J16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111"/>
      <c r="C4" s="110"/>
      <c r="D4" s="110"/>
      <c r="E4" s="110"/>
      <c r="F4" s="110"/>
      <c r="G4" s="110"/>
      <c r="H4" s="110"/>
      <c r="I4" s="110"/>
      <c r="J4" s="110"/>
      <c r="K4" s="11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112"/>
      <c r="C5" s="15"/>
      <c r="D5" s="15"/>
      <c r="E5" s="15"/>
      <c r="F5" s="15"/>
      <c r="G5" s="15"/>
      <c r="H5" s="15"/>
      <c r="I5" s="15"/>
      <c r="J5" s="15"/>
      <c r="K5" s="11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112"/>
      <c r="C6" s="15"/>
      <c r="D6" s="15"/>
      <c r="E6" s="15"/>
      <c r="F6" s="15"/>
      <c r="G6" s="15"/>
      <c r="H6" s="15"/>
      <c r="I6" s="15"/>
      <c r="J6" s="15"/>
      <c r="K6" s="11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112"/>
      <c r="C7" s="15"/>
      <c r="D7" s="15"/>
      <c r="E7" s="15"/>
      <c r="F7" s="15"/>
      <c r="G7" s="15"/>
      <c r="H7" s="15"/>
      <c r="I7" s="15"/>
      <c r="J7" s="15"/>
      <c r="K7" s="11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112"/>
      <c r="C8" s="15"/>
      <c r="D8" s="15"/>
      <c r="E8" s="15"/>
      <c r="F8" s="15"/>
      <c r="G8" s="15"/>
      <c r="H8" s="15"/>
      <c r="I8" s="15"/>
      <c r="J8" s="15"/>
      <c r="K8" s="11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112"/>
      <c r="C9" s="15"/>
      <c r="D9" s="15"/>
      <c r="E9" s="15"/>
      <c r="F9" s="15"/>
      <c r="G9" s="15"/>
      <c r="H9" s="15"/>
      <c r="I9" s="15"/>
      <c r="J9" s="15"/>
      <c r="K9" s="11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112"/>
      <c r="C10" s="15"/>
      <c r="D10" s="15"/>
      <c r="E10" s="15"/>
      <c r="F10" s="15"/>
      <c r="G10" s="15"/>
      <c r="H10" s="15"/>
      <c r="I10" s="15"/>
      <c r="J10" s="15"/>
      <c r="K10" s="11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112"/>
      <c r="C11" s="15"/>
      <c r="D11" s="15"/>
      <c r="E11" s="15"/>
      <c r="F11" s="15"/>
      <c r="G11" s="15"/>
      <c r="H11" s="15"/>
      <c r="I11" s="15"/>
      <c r="J11" s="15"/>
      <c r="K11" s="11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112"/>
      <c r="C12" s="15"/>
      <c r="D12" s="15"/>
      <c r="E12" s="15"/>
      <c r="F12" s="15"/>
      <c r="G12" s="15"/>
      <c r="H12" s="15"/>
      <c r="I12" s="15"/>
      <c r="J12" s="15"/>
      <c r="K12" s="11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112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43</v>
      </c>
      <c r="K13" s="11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112"/>
      <c r="C14" s="15"/>
      <c r="D14" s="17" t="s">
        <v>86</v>
      </c>
      <c r="E14" s="18"/>
      <c r="F14" s="18"/>
      <c r="G14" s="18"/>
      <c r="H14" s="18"/>
      <c r="I14" s="18"/>
      <c r="J14" s="18"/>
      <c r="K14" s="11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112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11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112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44194</v>
      </c>
      <c r="K16" s="11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112"/>
      <c r="C17" s="15"/>
      <c r="D17" s="18"/>
      <c r="E17" s="18"/>
      <c r="F17" s="18"/>
      <c r="G17" s="18"/>
      <c r="H17" s="18"/>
      <c r="I17" s="18"/>
      <c r="J17" s="18"/>
      <c r="K17" s="11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112"/>
      <c r="C18" s="15"/>
      <c r="D18" s="18"/>
      <c r="E18" s="18"/>
      <c r="F18" s="18"/>
      <c r="G18" s="18"/>
      <c r="H18" s="18"/>
      <c r="I18" s="18"/>
      <c r="J18" s="18"/>
      <c r="K18" s="11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112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11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112"/>
      <c r="C20" s="15"/>
      <c r="D20" s="34"/>
      <c r="E20" s="21"/>
      <c r="F20" s="20"/>
      <c r="G20" s="20"/>
      <c r="H20" s="20"/>
      <c r="I20" s="70"/>
      <c r="J20" s="20"/>
      <c r="K20" s="11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112"/>
      <c r="C21" s="15"/>
      <c r="D21" s="34"/>
      <c r="E21" s="21"/>
      <c r="F21" s="20"/>
      <c r="G21" s="20"/>
      <c r="H21" s="20"/>
      <c r="I21" s="70"/>
      <c r="J21" s="20"/>
      <c r="K21" s="11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112"/>
      <c r="C22" s="15"/>
      <c r="D22" s="34"/>
      <c r="E22" s="21"/>
      <c r="F22" s="20"/>
      <c r="G22" s="20"/>
      <c r="H22" s="20"/>
      <c r="I22" s="70"/>
      <c r="J22" s="20"/>
      <c r="K22" s="11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112"/>
      <c r="C23" s="15"/>
      <c r="D23" s="34"/>
      <c r="E23" s="21"/>
      <c r="F23" s="20"/>
      <c r="G23" s="20"/>
      <c r="H23" s="20"/>
      <c r="I23" s="70"/>
      <c r="J23" s="20"/>
      <c r="K23" s="11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112"/>
      <c r="C24" s="15"/>
      <c r="D24" s="34"/>
      <c r="E24" s="20"/>
      <c r="F24" s="20"/>
      <c r="G24" s="20"/>
      <c r="H24" s="20"/>
      <c r="I24" s="70"/>
      <c r="J24" s="20"/>
      <c r="K24" s="11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112"/>
      <c r="C25" s="15"/>
      <c r="D25" s="34"/>
      <c r="E25" s="20"/>
      <c r="F25" s="20"/>
      <c r="G25" s="20"/>
      <c r="H25" s="20"/>
      <c r="I25" s="70"/>
      <c r="J25" s="20"/>
      <c r="K25" s="11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112"/>
      <c r="C26" s="15"/>
      <c r="D26" s="34"/>
      <c r="E26" s="20"/>
      <c r="F26" s="20"/>
      <c r="G26" s="20"/>
      <c r="H26" s="20"/>
      <c r="I26" s="70"/>
      <c r="J26" s="20"/>
      <c r="K26" s="11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112"/>
      <c r="C27" s="15"/>
      <c r="D27" s="34"/>
      <c r="E27" s="20"/>
      <c r="F27" s="20"/>
      <c r="G27" s="20"/>
      <c r="H27" s="20"/>
      <c r="I27" s="70"/>
      <c r="J27" s="20"/>
      <c r="K27" s="11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112"/>
      <c r="C28" s="15"/>
      <c r="D28" s="34"/>
      <c r="E28" s="20"/>
      <c r="F28" s="20"/>
      <c r="G28" s="20"/>
      <c r="H28" s="20"/>
      <c r="I28" s="70"/>
      <c r="J28" s="20"/>
      <c r="K28" s="11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112"/>
      <c r="C29" s="15"/>
      <c r="D29" s="34"/>
      <c r="E29" s="20"/>
      <c r="F29" s="20"/>
      <c r="G29" s="20"/>
      <c r="H29" s="20"/>
      <c r="I29" s="70"/>
      <c r="J29" s="20"/>
      <c r="K29" s="11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112"/>
      <c r="C30" s="15"/>
      <c r="D30" s="34"/>
      <c r="E30" s="20"/>
      <c r="F30" s="20"/>
      <c r="G30" s="20"/>
      <c r="H30" s="20"/>
      <c r="I30" s="70"/>
      <c r="J30" s="20"/>
      <c r="K30" s="11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112"/>
      <c r="C31" s="15"/>
      <c r="D31" s="34"/>
      <c r="E31" s="21"/>
      <c r="F31" s="20"/>
      <c r="G31" s="20"/>
      <c r="H31" s="20"/>
      <c r="I31" s="70"/>
      <c r="J31" s="20"/>
      <c r="K31" s="11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112"/>
      <c r="C32" s="15"/>
      <c r="D32" s="34"/>
      <c r="E32" s="21"/>
      <c r="F32" s="20"/>
      <c r="G32" s="20"/>
      <c r="H32" s="20"/>
      <c r="I32" s="70"/>
      <c r="J32" s="20"/>
      <c r="K32" s="11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112"/>
      <c r="C33" s="15"/>
      <c r="D33" s="34"/>
      <c r="E33" s="21"/>
      <c r="F33" s="20"/>
      <c r="G33" s="20"/>
      <c r="H33" s="20"/>
      <c r="I33" s="70"/>
      <c r="J33" s="20"/>
      <c r="K33" s="11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112"/>
      <c r="C34" s="15"/>
      <c r="D34" s="34"/>
      <c r="E34" s="21"/>
      <c r="F34" s="20"/>
      <c r="G34" s="20"/>
      <c r="H34" s="20"/>
      <c r="I34" s="70"/>
      <c r="J34" s="20"/>
      <c r="K34" s="11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112"/>
      <c r="C35" s="15"/>
      <c r="D35" s="34"/>
      <c r="E35" s="21"/>
      <c r="F35" s="20"/>
      <c r="G35" s="20"/>
      <c r="H35" s="20"/>
      <c r="I35" s="70"/>
      <c r="J35" s="20"/>
      <c r="K35" s="11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112"/>
      <c r="C36" s="15"/>
      <c r="D36" s="34"/>
      <c r="E36" s="21"/>
      <c r="F36" s="20"/>
      <c r="G36" s="20"/>
      <c r="H36" s="20"/>
      <c r="I36" s="70"/>
      <c r="J36" s="20"/>
      <c r="K36" s="11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112"/>
      <c r="C37" s="15"/>
      <c r="D37" s="34"/>
      <c r="E37" s="21"/>
      <c r="F37" s="20"/>
      <c r="G37" s="20"/>
      <c r="H37" s="20"/>
      <c r="I37" s="70"/>
      <c r="J37" s="20"/>
      <c r="K37" s="11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112"/>
      <c r="C38" s="15"/>
      <c r="D38" s="34"/>
      <c r="E38" s="21"/>
      <c r="F38" s="20"/>
      <c r="G38" s="20"/>
      <c r="H38" s="20"/>
      <c r="I38" s="70"/>
      <c r="J38" s="20"/>
      <c r="K38" s="11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112"/>
      <c r="C39" s="15"/>
      <c r="D39" s="34"/>
      <c r="E39" s="21"/>
      <c r="F39" s="20"/>
      <c r="G39" s="20"/>
      <c r="H39" s="20"/>
      <c r="I39" s="70"/>
      <c r="J39" s="20"/>
      <c r="K39" s="11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112"/>
      <c r="C40" s="15"/>
      <c r="D40" s="34"/>
      <c r="E40" s="21"/>
      <c r="F40" s="20"/>
      <c r="G40" s="20"/>
      <c r="H40" s="20"/>
      <c r="I40" s="70"/>
      <c r="J40" s="20"/>
      <c r="K40" s="11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112"/>
      <c r="C41" s="15"/>
      <c r="D41" s="34"/>
      <c r="E41" s="21"/>
      <c r="F41" s="20"/>
      <c r="G41" s="20"/>
      <c r="H41" s="20"/>
      <c r="I41" s="70"/>
      <c r="J41" s="20"/>
      <c r="K41" s="11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112"/>
      <c r="C42" s="15"/>
      <c r="D42" s="34"/>
      <c r="E42" s="21"/>
      <c r="F42" s="20"/>
      <c r="G42" s="20"/>
      <c r="H42" s="20"/>
      <c r="I42" s="70"/>
      <c r="J42" s="20"/>
      <c r="K42" s="11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112"/>
      <c r="C43" s="16"/>
      <c r="D43" s="17" t="s">
        <v>19</v>
      </c>
      <c r="E43" s="18"/>
      <c r="F43" s="18"/>
      <c r="G43" s="18"/>
      <c r="H43" s="18"/>
      <c r="I43" s="22">
        <f>SUM(inv_cost)</f>
        <v>0</v>
      </c>
      <c r="J43" s="18"/>
      <c r="K43" s="11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112"/>
      <c r="C44" s="15"/>
      <c r="D44" s="18"/>
      <c r="E44" s="18"/>
      <c r="F44" s="18"/>
      <c r="G44" s="18"/>
      <c r="H44" s="18"/>
      <c r="I44" s="18"/>
      <c r="J44" s="18"/>
      <c r="K44" s="11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113"/>
      <c r="C45" s="110"/>
      <c r="D45" s="110"/>
      <c r="E45" s="110"/>
      <c r="F45" s="110"/>
      <c r="G45" s="110"/>
      <c r="H45" s="110"/>
      <c r="I45" s="110"/>
      <c r="J45" s="110"/>
      <c r="K45" s="11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C4:J4"/>
    <mergeCell ref="B4:B45"/>
    <mergeCell ref="K4:K45"/>
    <mergeCell ref="C45:J4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DB82-2F5D-4342-944E-CD1A3BC6442B}">
  <sheetPr codeName="Sheet3"/>
  <dimension ref="A1:AH103"/>
  <sheetViews>
    <sheetView workbookViewId="0">
      <selection activeCell="E25" sqref="E25"/>
    </sheetView>
  </sheetViews>
  <sheetFormatPr defaultRowHeight="15" x14ac:dyDescent="0.25"/>
  <cols>
    <col min="1" max="1" width="15.140625" bestFit="1" customWidth="1"/>
    <col min="2" max="2" width="22.85546875" bestFit="1" customWidth="1"/>
    <col min="3" max="3" width="28.5703125" bestFit="1" customWidth="1"/>
    <col min="4" max="4" width="12.28515625" bestFit="1" customWidth="1"/>
    <col min="5" max="5" width="65.140625" customWidth="1"/>
    <col min="6" max="6" width="32.28515625" customWidth="1"/>
    <col min="7" max="7" width="123.42578125" customWidth="1"/>
    <col min="8" max="8" width="16.42578125" style="82" customWidth="1"/>
    <col min="9" max="9" width="28.5703125" customWidth="1"/>
    <col min="10" max="10" width="2.42578125" customWidth="1"/>
    <col min="11" max="11" width="3" customWidth="1"/>
    <col min="12" max="13" width="3.140625" customWidth="1"/>
    <col min="14" max="14" width="4.7109375" customWidth="1"/>
    <col min="15" max="15" width="3" customWidth="1"/>
    <col min="16" max="16" width="3.28515625" customWidth="1"/>
    <col min="17" max="17" width="3.42578125" customWidth="1"/>
    <col min="18" max="19" width="3.28515625" customWidth="1"/>
    <col min="20" max="20" width="3.7109375" customWidth="1"/>
    <col min="21" max="22" width="3.42578125" customWidth="1"/>
    <col min="23" max="23" width="14.5703125" bestFit="1" customWidth="1"/>
  </cols>
  <sheetData>
    <row r="1" spans="1:34" s="65" customFormat="1" ht="15.75" thickBot="1" x14ac:dyDescent="0.3">
      <c r="A1" s="68" t="s">
        <v>43</v>
      </c>
      <c r="B1" s="68" t="s">
        <v>41</v>
      </c>
      <c r="C1" s="68" t="s">
        <v>42</v>
      </c>
      <c r="D1" s="68" t="s">
        <v>46</v>
      </c>
      <c r="E1" s="68" t="s">
        <v>48</v>
      </c>
      <c r="F1" s="68" t="s">
        <v>47</v>
      </c>
      <c r="G1" s="68" t="s">
        <v>49</v>
      </c>
      <c r="H1" s="79" t="s">
        <v>90</v>
      </c>
      <c r="I1" s="68" t="s">
        <v>50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79" t="s">
        <v>91</v>
      </c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</row>
    <row r="2" spans="1:34" ht="15.75" thickBot="1" x14ac:dyDescent="0.3">
      <c r="A2" s="89" t="str">
        <f>IF(MASTER!K3="","",MASTER!K3)</f>
        <v>Company ABC</v>
      </c>
      <c r="B2" s="66" t="s">
        <v>45</v>
      </c>
      <c r="C2" s="66" t="s">
        <v>44</v>
      </c>
      <c r="D2" s="66" t="b">
        <v>1</v>
      </c>
      <c r="E2" s="66" t="str">
        <f t="shared" ref="E2:E14" si="0">"C:\_Excel_Examples\Expense_Report\invoices\" &amp; A2 &amp; ".xlsx"</f>
        <v>C:\_Excel_Examples\Expense_Report\invoices\Company ABC.xlsx</v>
      </c>
      <c r="F2" s="66" t="s">
        <v>95</v>
      </c>
      <c r="G2" s="66" t="str">
        <f>"This is a plain text email sent using win32com.Client.  HTML is an option, if desired, file should be attached for company: " &amp; $A2</f>
        <v>This is a plain text email sent using win32com.Client.  HTML is an option, if desired, file should be attached for company: Company ABC</v>
      </c>
      <c r="H2" s="80">
        <v>10</v>
      </c>
      <c r="I2" s="69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80">
        <v>43</v>
      </c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5.75" thickBot="1" x14ac:dyDescent="0.3">
      <c r="A3" s="89" t="str">
        <f>IF(MASTER!K4="","",MASTER!K4)</f>
        <v>Company RVCA</v>
      </c>
      <c r="B3" s="66" t="s">
        <v>45</v>
      </c>
      <c r="C3" s="66" t="s">
        <v>44</v>
      </c>
      <c r="D3" s="66" t="b">
        <v>1</v>
      </c>
      <c r="E3" s="66" t="str">
        <f t="shared" si="0"/>
        <v>C:\_Excel_Examples\Expense_Report\invoices\Company RVCA.xlsx</v>
      </c>
      <c r="F3" s="66" t="s">
        <v>96</v>
      </c>
      <c r="G3" s="66" t="s">
        <v>88</v>
      </c>
      <c r="H3" s="80">
        <v>15</v>
      </c>
      <c r="I3" s="69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5.75" thickBot="1" x14ac:dyDescent="0.3">
      <c r="A4" s="89" t="str">
        <f>IF(MASTER!K5="","",MASTER!K5)</f>
        <v>Company FHG</v>
      </c>
      <c r="B4" s="66" t="s">
        <v>45</v>
      </c>
      <c r="C4" s="66" t="s">
        <v>44</v>
      </c>
      <c r="D4" s="66" t="b">
        <v>1</v>
      </c>
      <c r="E4" s="66" t="str">
        <f t="shared" si="0"/>
        <v>C:\_Excel_Examples\Expense_Report\invoices\Company FHG.xlsx</v>
      </c>
      <c r="F4" s="66" t="s">
        <v>97</v>
      </c>
      <c r="G4" s="66" t="s">
        <v>88</v>
      </c>
      <c r="H4" s="80">
        <v>20</v>
      </c>
      <c r="I4" s="69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5.75" thickBot="1" x14ac:dyDescent="0.3">
      <c r="A5" s="89" t="str">
        <f>IF(MASTER!K6="","",MASTER!K6)</f>
        <v>Company JJJ</v>
      </c>
      <c r="B5" s="66" t="s">
        <v>45</v>
      </c>
      <c r="C5" s="66" t="s">
        <v>44</v>
      </c>
      <c r="D5" s="66" t="b">
        <v>1</v>
      </c>
      <c r="E5" s="66" t="str">
        <f t="shared" si="0"/>
        <v>C:\_Excel_Examples\Expense_Report\invoices\Company JJJ.xlsx</v>
      </c>
      <c r="F5" s="66" t="s">
        <v>98</v>
      </c>
      <c r="G5" s="66" t="s">
        <v>88</v>
      </c>
      <c r="H5" s="80">
        <v>20</v>
      </c>
      <c r="I5" s="69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5.75" thickBot="1" x14ac:dyDescent="0.3">
      <c r="A6" s="89" t="str">
        <f>IF(MASTER!K7="","",MASTER!K7)</f>
        <v>Company KLS</v>
      </c>
      <c r="B6" s="66" t="s">
        <v>45</v>
      </c>
      <c r="C6" s="66" t="s">
        <v>44</v>
      </c>
      <c r="D6" s="66" t="b">
        <v>1</v>
      </c>
      <c r="E6" s="66" t="str">
        <f t="shared" si="0"/>
        <v>C:\_Excel_Examples\Expense_Report\invoices\Company KLS.xlsx</v>
      </c>
      <c r="F6" s="66" t="s">
        <v>99</v>
      </c>
      <c r="G6" s="66" t="s">
        <v>88</v>
      </c>
      <c r="H6" s="80">
        <v>60</v>
      </c>
      <c r="I6" s="69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15.75" thickBot="1" x14ac:dyDescent="0.3">
      <c r="A7" s="89" t="str">
        <f>IF(MASTER!K8="","",MASTER!K8)</f>
        <v>Company OPD</v>
      </c>
      <c r="B7" s="66" t="s">
        <v>45</v>
      </c>
      <c r="C7" s="66" t="s">
        <v>44</v>
      </c>
      <c r="D7" s="66" t="b">
        <v>1</v>
      </c>
      <c r="E7" s="66" t="str">
        <f t="shared" si="0"/>
        <v>C:\_Excel_Examples\Expense_Report\invoices\Company OPD.xlsx</v>
      </c>
      <c r="F7" s="66" t="s">
        <v>100</v>
      </c>
      <c r="G7" s="66" t="s">
        <v>88</v>
      </c>
      <c r="H7" s="80">
        <v>60</v>
      </c>
      <c r="I7" s="69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5.75" thickBot="1" x14ac:dyDescent="0.3">
      <c r="A8" s="89" t="str">
        <f>IF(MASTER!K9="","",MASTER!K9)</f>
        <v>Company TTT</v>
      </c>
      <c r="B8" s="66" t="s">
        <v>45</v>
      </c>
      <c r="C8" s="66" t="s">
        <v>44</v>
      </c>
      <c r="D8" s="66" t="b">
        <v>1</v>
      </c>
      <c r="E8" s="66" t="str">
        <f t="shared" si="0"/>
        <v>C:\_Excel_Examples\Expense_Report\invoices\Company TTT.xlsx</v>
      </c>
      <c r="F8" s="66" t="s">
        <v>101</v>
      </c>
      <c r="G8" s="66" t="s">
        <v>88</v>
      </c>
      <c r="H8" s="80">
        <v>30</v>
      </c>
      <c r="I8" s="69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5.75" thickBot="1" x14ac:dyDescent="0.3">
      <c r="A9" s="89" t="str">
        <f>IF(MASTER!K10="","",MASTER!K10)</f>
        <v>Company WWW</v>
      </c>
      <c r="B9" s="66" t="s">
        <v>45</v>
      </c>
      <c r="C9" s="66" t="s">
        <v>44</v>
      </c>
      <c r="D9" s="66" t="b">
        <v>1</v>
      </c>
      <c r="E9" s="66" t="str">
        <f t="shared" si="0"/>
        <v>C:\_Excel_Examples\Expense_Report\invoices\Company WWW.xlsx</v>
      </c>
      <c r="F9" s="66" t="s">
        <v>102</v>
      </c>
      <c r="G9" s="66" t="s">
        <v>88</v>
      </c>
      <c r="H9" s="80">
        <v>15</v>
      </c>
      <c r="I9" s="69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5.75" thickBot="1" x14ac:dyDescent="0.3">
      <c r="A10" s="89" t="str">
        <f>IF(MASTER!K11="","",MASTER!K11)</f>
        <v>Company OOO</v>
      </c>
      <c r="B10" s="66" t="s">
        <v>45</v>
      </c>
      <c r="C10" s="66" t="s">
        <v>44</v>
      </c>
      <c r="D10" s="66" t="b">
        <v>1</v>
      </c>
      <c r="E10" s="66" t="str">
        <f t="shared" si="0"/>
        <v>C:\_Excel_Examples\Expense_Report\invoices\Company OOO.xlsx</v>
      </c>
      <c r="F10" s="66" t="s">
        <v>103</v>
      </c>
      <c r="G10" s="66" t="s">
        <v>88</v>
      </c>
      <c r="H10" s="80">
        <v>6</v>
      </c>
      <c r="I10" s="69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ht="15.75" thickBot="1" x14ac:dyDescent="0.3">
      <c r="A11" s="89" t="str">
        <f>IF(MASTER!K12="","",MASTER!K12)</f>
        <v>Company LLL</v>
      </c>
      <c r="B11" s="66" t="s">
        <v>45</v>
      </c>
      <c r="C11" s="66" t="s">
        <v>44</v>
      </c>
      <c r="D11" s="66" t="b">
        <v>1</v>
      </c>
      <c r="E11" s="66" t="str">
        <f t="shared" si="0"/>
        <v>C:\_Excel_Examples\Expense_Report\invoices\Company LLL.xlsx</v>
      </c>
      <c r="F11" s="66" t="s">
        <v>104</v>
      </c>
      <c r="G11" s="66" t="s">
        <v>88</v>
      </c>
      <c r="H11" s="80">
        <v>6</v>
      </c>
      <c r="I11" s="69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ht="15.75" thickBot="1" x14ac:dyDescent="0.3">
      <c r="A12" s="89" t="str">
        <f>IF(MASTER!K13="","",MASTER!K13)</f>
        <v>Company LDY</v>
      </c>
      <c r="B12" s="66" t="s">
        <v>45</v>
      </c>
      <c r="C12" s="66" t="s">
        <v>44</v>
      </c>
      <c r="D12" s="66" t="b">
        <v>1</v>
      </c>
      <c r="E12" s="66" t="str">
        <f t="shared" si="0"/>
        <v>C:\_Excel_Examples\Expense_Report\invoices\Company LDY.xlsx</v>
      </c>
      <c r="F12" s="66" t="s">
        <v>105</v>
      </c>
      <c r="G12" s="66" t="s">
        <v>88</v>
      </c>
      <c r="H12" s="80">
        <v>5</v>
      </c>
      <c r="I12" s="69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ht="15.75" thickBot="1" x14ac:dyDescent="0.3">
      <c r="A13" s="89" t="str">
        <f>IF(MASTER!K14="","",MASTER!K14)</f>
        <v>Company QOS</v>
      </c>
      <c r="B13" s="66" t="s">
        <v>45</v>
      </c>
      <c r="C13" s="66" t="s">
        <v>44</v>
      </c>
      <c r="D13" s="66" t="b">
        <v>1</v>
      </c>
      <c r="E13" s="66" t="str">
        <f t="shared" si="0"/>
        <v>C:\_Excel_Examples\Expense_Report\invoices\Company QOS.xlsx</v>
      </c>
      <c r="F13" s="66" t="s">
        <v>106</v>
      </c>
      <c r="G13" s="66" t="s">
        <v>88</v>
      </c>
      <c r="H13" s="80">
        <v>3</v>
      </c>
      <c r="I13" s="69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5.75" thickBot="1" x14ac:dyDescent="0.3">
      <c r="A14" s="89" t="str">
        <f>IF(MASTER!K15="","",MASTER!K15)</f>
        <v>Company LSTAT</v>
      </c>
      <c r="B14" s="66" t="s">
        <v>45</v>
      </c>
      <c r="C14" s="66" t="s">
        <v>44</v>
      </c>
      <c r="D14" s="66" t="b">
        <v>1</v>
      </c>
      <c r="E14" s="66" t="str">
        <f t="shared" si="0"/>
        <v>C:\_Excel_Examples\Expense_Report\invoices\Company LSTAT.xlsx</v>
      </c>
      <c r="F14" s="66" t="s">
        <v>107</v>
      </c>
      <c r="G14" s="66" t="s">
        <v>88</v>
      </c>
      <c r="H14" s="80">
        <v>3</v>
      </c>
      <c r="I14" s="69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ht="15.75" thickBot="1" x14ac:dyDescent="0.3">
      <c r="A15" s="89" t="str">
        <f>IF(MASTER!K16="","",MASTER!K16)</f>
        <v/>
      </c>
      <c r="B15" s="66"/>
      <c r="C15" s="66"/>
      <c r="D15" s="66"/>
      <c r="E15" s="66"/>
      <c r="F15" s="66"/>
      <c r="G15" s="66"/>
      <c r="H15" s="80"/>
      <c r="I15" s="69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ht="15.75" thickBot="1" x14ac:dyDescent="0.3">
      <c r="A16" s="89" t="str">
        <f>IF(MASTER!K17="","",MASTER!K17)</f>
        <v/>
      </c>
      <c r="B16" s="66"/>
      <c r="C16" s="66"/>
      <c r="D16" s="66"/>
      <c r="E16" s="66"/>
      <c r="F16" s="66"/>
      <c r="G16" s="66"/>
      <c r="H16" s="80"/>
      <c r="I16" s="69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15.75" thickBot="1" x14ac:dyDescent="0.3">
      <c r="A17" s="89" t="str">
        <f>IF(MASTER!K18="","",MASTER!K18)</f>
        <v/>
      </c>
      <c r="B17" s="66"/>
      <c r="C17" s="66"/>
      <c r="D17" s="66"/>
      <c r="E17" s="66"/>
      <c r="F17" s="66"/>
      <c r="G17" s="66"/>
      <c r="H17" s="80"/>
      <c r="I17" s="69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5.75" thickBot="1" x14ac:dyDescent="0.3">
      <c r="A18" s="89" t="str">
        <f>IF(MASTER!K19="","",MASTER!K19)</f>
        <v/>
      </c>
      <c r="B18" s="66"/>
      <c r="C18" s="66"/>
      <c r="D18" s="66"/>
      <c r="E18" s="66"/>
      <c r="F18" s="66"/>
      <c r="G18" s="66"/>
      <c r="H18" s="80"/>
      <c r="I18" s="69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5.75" thickBot="1" x14ac:dyDescent="0.3">
      <c r="A19" s="89" t="str">
        <f>IF(MASTER!K20="","",MASTER!K20)</f>
        <v/>
      </c>
      <c r="B19" s="66"/>
      <c r="C19" s="66"/>
      <c r="D19" s="66"/>
      <c r="E19" s="66"/>
      <c r="F19" s="66"/>
      <c r="G19" s="66"/>
      <c r="H19" s="80"/>
      <c r="I19" s="69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5.75" thickBot="1" x14ac:dyDescent="0.3">
      <c r="A20" s="89" t="str">
        <f>IF(MASTER!K21="","",MASTER!K21)</f>
        <v/>
      </c>
      <c r="B20" s="66"/>
      <c r="C20" s="66"/>
      <c r="D20" s="66"/>
      <c r="E20" s="66"/>
      <c r="F20" s="66"/>
      <c r="G20" s="66"/>
      <c r="H20" s="80"/>
      <c r="I20" s="69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s="2"/>
      <c r="B21" s="2"/>
      <c r="C21" s="2"/>
      <c r="D21" s="2"/>
      <c r="E21" s="2"/>
      <c r="F21" s="2"/>
      <c r="G21" s="2"/>
      <c r="H21" s="8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s="2"/>
      <c r="B22" s="2"/>
      <c r="C22" s="2"/>
      <c r="D22" s="2"/>
      <c r="E22" s="2"/>
      <c r="F22" s="2"/>
      <c r="G22" s="2"/>
      <c r="H22" s="81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s="2"/>
      <c r="B23" s="2"/>
      <c r="C23" s="2"/>
      <c r="D23" s="2"/>
      <c r="E23" s="2"/>
      <c r="F23" s="2"/>
      <c r="G23" s="2"/>
      <c r="H23" s="81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s="2"/>
      <c r="B24" s="2"/>
      <c r="C24" s="2"/>
      <c r="D24" s="2"/>
      <c r="E24" s="2"/>
      <c r="F24" s="2"/>
      <c r="G24" s="2"/>
      <c r="H24" s="81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s="2"/>
      <c r="B25" s="2"/>
      <c r="C25" s="2"/>
      <c r="D25" s="2"/>
      <c r="E25" s="2"/>
      <c r="F25" s="2"/>
      <c r="G25" s="2"/>
      <c r="H25" s="81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2"/>
      <c r="B26" s="2"/>
      <c r="C26" s="2"/>
      <c r="D26" s="2"/>
      <c r="E26" s="2"/>
      <c r="F26" s="2"/>
      <c r="G26" s="2"/>
      <c r="H26" s="81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2"/>
      <c r="B27" s="2"/>
      <c r="C27" s="2"/>
      <c r="D27" s="2"/>
      <c r="E27" s="2"/>
      <c r="F27" s="2"/>
      <c r="G27" s="2"/>
      <c r="H27" s="81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s="2"/>
      <c r="B28" s="2"/>
      <c r="C28" s="2"/>
      <c r="D28" s="2"/>
      <c r="E28" s="2"/>
      <c r="F28" s="2"/>
      <c r="G28" s="2"/>
      <c r="H28" s="81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s="2"/>
      <c r="B29" s="2"/>
      <c r="C29" s="2"/>
      <c r="D29" s="2"/>
      <c r="E29" s="2"/>
      <c r="F29" s="2"/>
      <c r="G29" s="2"/>
      <c r="H29" s="81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s="2"/>
      <c r="B30" s="2"/>
      <c r="C30" s="2"/>
      <c r="D30" s="2"/>
      <c r="E30" s="2"/>
      <c r="F30" s="2"/>
      <c r="G30" s="2"/>
      <c r="H30" s="81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s="2"/>
      <c r="B31" s="2"/>
      <c r="C31" s="2"/>
      <c r="D31" s="2"/>
      <c r="E31" s="2"/>
      <c r="F31" s="2"/>
      <c r="G31" s="2"/>
      <c r="H31" s="81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s="2"/>
      <c r="B32" s="2"/>
      <c r="C32" s="2"/>
      <c r="D32" s="2"/>
      <c r="E32" s="2"/>
      <c r="F32" s="2"/>
      <c r="G32" s="2"/>
      <c r="H32" s="8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s="2"/>
      <c r="B33" s="2"/>
      <c r="C33" s="2"/>
      <c r="D33" s="2"/>
      <c r="E33" s="2"/>
      <c r="F33" s="2"/>
      <c r="G33" s="2"/>
      <c r="H33" s="8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s="2"/>
      <c r="B34" s="2"/>
      <c r="C34" s="2"/>
      <c r="D34" s="2"/>
      <c r="E34" s="2"/>
      <c r="F34" s="2"/>
      <c r="G34" s="2"/>
      <c r="H34" s="8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s="2"/>
      <c r="B35" s="2"/>
      <c r="C35" s="2"/>
      <c r="D35" s="2"/>
      <c r="E35" s="2"/>
      <c r="F35" s="2"/>
      <c r="G35" s="2"/>
      <c r="H35" s="81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s="2"/>
      <c r="B36" s="2"/>
      <c r="C36" s="2"/>
      <c r="D36" s="2"/>
      <c r="E36" s="2"/>
      <c r="F36" s="2"/>
      <c r="G36" s="2"/>
      <c r="H36" s="81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s="2"/>
      <c r="B37" s="2"/>
      <c r="C37" s="2"/>
      <c r="D37" s="2"/>
      <c r="E37" s="2"/>
      <c r="F37" s="2"/>
      <c r="G37" s="2"/>
      <c r="H37" s="81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s="2"/>
      <c r="B38" s="2"/>
      <c r="C38" s="2"/>
      <c r="D38" s="2"/>
      <c r="E38" s="2"/>
      <c r="F38" s="2"/>
      <c r="G38" s="2"/>
      <c r="H38" s="81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s="2"/>
      <c r="B39" s="2"/>
      <c r="C39" s="2"/>
      <c r="D39" s="2"/>
      <c r="E39" s="2"/>
      <c r="F39" s="2"/>
      <c r="G39" s="2"/>
      <c r="H39" s="81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s="2"/>
      <c r="B40" s="2"/>
      <c r="C40" s="2"/>
      <c r="D40" s="2"/>
      <c r="E40" s="2"/>
      <c r="F40" s="2"/>
      <c r="G40" s="2"/>
      <c r="H40" s="81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s="2"/>
      <c r="B41" s="2"/>
      <c r="C41" s="2"/>
      <c r="D41" s="2"/>
      <c r="E41" s="2"/>
      <c r="F41" s="2"/>
      <c r="G41" s="2"/>
      <c r="H41" s="81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s="2"/>
      <c r="B42" s="2"/>
      <c r="C42" s="2"/>
      <c r="D42" s="2"/>
      <c r="E42" s="2"/>
      <c r="F42" s="2"/>
      <c r="G42" s="2"/>
      <c r="H42" s="81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s="2"/>
      <c r="B43" s="2"/>
      <c r="C43" s="2"/>
      <c r="D43" s="2"/>
      <c r="E43" s="2"/>
      <c r="F43" s="2"/>
      <c r="G43" s="2"/>
      <c r="H43" s="81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s="2"/>
      <c r="B44" s="2"/>
      <c r="C44" s="2"/>
      <c r="D44" s="2"/>
      <c r="E44" s="2"/>
      <c r="F44" s="2"/>
      <c r="G44" s="2"/>
      <c r="H44" s="81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s="2"/>
      <c r="B45" s="2"/>
      <c r="C45" s="2"/>
      <c r="D45" s="2"/>
      <c r="E45" s="2"/>
      <c r="F45" s="2"/>
      <c r="G45" s="2"/>
      <c r="H45" s="81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s="2"/>
      <c r="B46" s="2"/>
      <c r="C46" s="2"/>
      <c r="D46" s="2"/>
      <c r="E46" s="2"/>
      <c r="F46" s="2"/>
      <c r="G46" s="2"/>
      <c r="H46" s="81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s="2"/>
      <c r="B47" s="2"/>
      <c r="C47" s="2"/>
      <c r="D47" s="2"/>
      <c r="E47" s="2"/>
      <c r="F47" s="2"/>
      <c r="G47" s="2"/>
      <c r="H47" s="81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s="2"/>
      <c r="B48" s="2"/>
      <c r="C48" s="2"/>
      <c r="D48" s="2"/>
      <c r="E48" s="2"/>
      <c r="F48" s="2"/>
      <c r="G48" s="2"/>
      <c r="H48" s="81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s="2"/>
      <c r="B49" s="2"/>
      <c r="C49" s="2"/>
      <c r="D49" s="2"/>
      <c r="E49" s="2"/>
      <c r="F49" s="2"/>
      <c r="G49" s="2"/>
      <c r="H49" s="81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s="2"/>
      <c r="B50" s="2"/>
      <c r="C50" s="2"/>
      <c r="D50" s="2"/>
      <c r="E50" s="2"/>
      <c r="F50" s="2"/>
      <c r="G50" s="2"/>
      <c r="H50" s="81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s="2"/>
      <c r="B51" s="2"/>
      <c r="C51" s="2"/>
      <c r="D51" s="2"/>
      <c r="E51" s="2"/>
      <c r="F51" s="2"/>
      <c r="G51" s="2"/>
      <c r="H51" s="8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s="2"/>
      <c r="B52" s="2"/>
      <c r="C52" s="2"/>
      <c r="D52" s="2"/>
      <c r="E52" s="2"/>
      <c r="F52" s="2"/>
      <c r="G52" s="2"/>
      <c r="H52" s="8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s="2"/>
      <c r="B53" s="2"/>
      <c r="C53" s="2"/>
      <c r="D53" s="2"/>
      <c r="E53" s="2"/>
      <c r="F53" s="2"/>
      <c r="G53" s="2"/>
      <c r="H53" s="81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s="2"/>
      <c r="B54" s="2"/>
      <c r="C54" s="2"/>
      <c r="D54" s="2"/>
      <c r="E54" s="2"/>
      <c r="F54" s="2"/>
      <c r="G54" s="2"/>
      <c r="H54" s="81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s="2"/>
      <c r="B55" s="2"/>
      <c r="C55" s="2"/>
      <c r="D55" s="2"/>
      <c r="E55" s="2"/>
      <c r="F55" s="2"/>
      <c r="G55" s="2"/>
      <c r="H55" s="81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s="2"/>
      <c r="B56" s="2"/>
      <c r="C56" s="2"/>
      <c r="D56" s="2"/>
      <c r="E56" s="2"/>
      <c r="F56" s="2"/>
      <c r="G56" s="2"/>
      <c r="H56" s="81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s="2"/>
      <c r="B57" s="2"/>
      <c r="C57" s="2"/>
      <c r="D57" s="2"/>
      <c r="E57" s="2"/>
      <c r="F57" s="2"/>
      <c r="G57" s="2"/>
      <c r="H57" s="81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s="2"/>
      <c r="B58" s="2"/>
      <c r="C58" s="2"/>
      <c r="D58" s="2"/>
      <c r="E58" s="2"/>
      <c r="F58" s="2"/>
      <c r="G58" s="2"/>
      <c r="H58" s="81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s="2"/>
      <c r="B59" s="2"/>
      <c r="C59" s="2"/>
      <c r="D59" s="2"/>
      <c r="E59" s="2"/>
      <c r="F59" s="2"/>
      <c r="G59" s="2"/>
      <c r="H59" s="81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s="2"/>
      <c r="B60" s="2"/>
      <c r="C60" s="2"/>
      <c r="D60" s="2"/>
      <c r="E60" s="2"/>
      <c r="F60" s="2"/>
      <c r="G60" s="2"/>
      <c r="H60" s="81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s="2"/>
      <c r="B61" s="2"/>
      <c r="C61" s="2"/>
      <c r="D61" s="2"/>
      <c r="E61" s="2"/>
      <c r="F61" s="2"/>
      <c r="G61" s="2"/>
      <c r="H61" s="81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s="2"/>
      <c r="B62" s="2"/>
      <c r="C62" s="2"/>
      <c r="D62" s="2"/>
      <c r="E62" s="2"/>
      <c r="F62" s="2"/>
      <c r="G62" s="2"/>
      <c r="H62" s="81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s="2"/>
      <c r="B63" s="2"/>
      <c r="C63" s="2"/>
      <c r="D63" s="2"/>
      <c r="E63" s="2"/>
      <c r="F63" s="2"/>
      <c r="G63" s="2"/>
      <c r="H63" s="81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s="2"/>
      <c r="B64" s="2"/>
      <c r="C64" s="2"/>
      <c r="D64" s="2"/>
      <c r="E64" s="2"/>
      <c r="F64" s="2"/>
      <c r="G64" s="2"/>
      <c r="H64" s="81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s="2"/>
      <c r="B65" s="2"/>
      <c r="C65" s="2"/>
      <c r="D65" s="2"/>
      <c r="E65" s="2"/>
      <c r="F65" s="2"/>
      <c r="G65" s="2"/>
      <c r="H65" s="81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s="2"/>
      <c r="B66" s="2"/>
      <c r="C66" s="2"/>
      <c r="D66" s="2"/>
      <c r="E66" s="2"/>
      <c r="F66" s="2"/>
      <c r="G66" s="2"/>
      <c r="H66" s="8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s="2"/>
      <c r="B67" s="2"/>
      <c r="C67" s="2"/>
      <c r="D67" s="2"/>
      <c r="E67" s="2"/>
      <c r="F67" s="2"/>
      <c r="G67" s="2"/>
      <c r="H67" s="81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s="2"/>
      <c r="B68" s="2"/>
      <c r="C68" s="2"/>
      <c r="D68" s="2"/>
      <c r="E68" s="2"/>
      <c r="F68" s="2"/>
      <c r="G68" s="2"/>
      <c r="H68" s="81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x14ac:dyDescent="0.25">
      <c r="A69" s="2"/>
      <c r="B69" s="2"/>
      <c r="C69" s="2"/>
      <c r="D69" s="2"/>
      <c r="E69" s="2"/>
      <c r="F69" s="2"/>
      <c r="G69" s="2"/>
      <c r="H69" s="81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x14ac:dyDescent="0.25">
      <c r="A70" s="2"/>
      <c r="B70" s="2"/>
      <c r="C70" s="2"/>
      <c r="D70" s="2"/>
      <c r="E70" s="2"/>
      <c r="F70" s="2"/>
      <c r="G70" s="2"/>
      <c r="H70" s="81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x14ac:dyDescent="0.25">
      <c r="A71" s="2"/>
      <c r="B71" s="2"/>
      <c r="C71" s="2"/>
      <c r="D71" s="2"/>
      <c r="E71" s="2"/>
      <c r="F71" s="2"/>
      <c r="G71" s="2"/>
      <c r="H71" s="81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x14ac:dyDescent="0.25">
      <c r="A72" s="2"/>
      <c r="B72" s="2"/>
      <c r="C72" s="2"/>
      <c r="D72" s="2"/>
      <c r="E72" s="2"/>
      <c r="F72" s="2"/>
      <c r="G72" s="2"/>
      <c r="H72" s="81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x14ac:dyDescent="0.25">
      <c r="A73" s="2"/>
      <c r="B73" s="2"/>
      <c r="C73" s="2"/>
      <c r="D73" s="2"/>
      <c r="E73" s="2"/>
      <c r="F73" s="2"/>
      <c r="G73" s="2"/>
      <c r="H73" s="81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x14ac:dyDescent="0.25">
      <c r="A74" s="2"/>
      <c r="B74" s="2"/>
      <c r="C74" s="2"/>
      <c r="D74" s="2"/>
      <c r="E74" s="2"/>
      <c r="F74" s="2"/>
      <c r="G74" s="2"/>
      <c r="H74" s="81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x14ac:dyDescent="0.25">
      <c r="A75" s="2"/>
      <c r="B75" s="2"/>
      <c r="C75" s="2"/>
      <c r="D75" s="2"/>
      <c r="E75" s="2"/>
      <c r="F75" s="2"/>
      <c r="G75" s="2"/>
      <c r="H75" s="81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x14ac:dyDescent="0.25">
      <c r="A76" s="2"/>
      <c r="B76" s="2"/>
      <c r="C76" s="2"/>
      <c r="D76" s="2"/>
      <c r="E76" s="2"/>
      <c r="F76" s="2"/>
      <c r="G76" s="2"/>
      <c r="H76" s="81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x14ac:dyDescent="0.25">
      <c r="A77" s="2"/>
      <c r="B77" s="2"/>
      <c r="C77" s="2"/>
      <c r="D77" s="2"/>
      <c r="E77" s="2"/>
      <c r="F77" s="2"/>
      <c r="G77" s="2"/>
      <c r="H77" s="81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x14ac:dyDescent="0.25">
      <c r="A78" s="2"/>
      <c r="B78" s="2"/>
      <c r="C78" s="2"/>
      <c r="D78" s="2"/>
      <c r="E78" s="2"/>
      <c r="F78" s="2"/>
      <c r="G78" s="2"/>
      <c r="H78" s="81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x14ac:dyDescent="0.25">
      <c r="A79" s="2"/>
      <c r="B79" s="2"/>
      <c r="C79" s="2"/>
      <c r="D79" s="2"/>
      <c r="E79" s="2"/>
      <c r="F79" s="2"/>
      <c r="G79" s="2"/>
      <c r="H79" s="81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x14ac:dyDescent="0.25">
      <c r="A80" s="2"/>
      <c r="B80" s="2"/>
      <c r="C80" s="2"/>
      <c r="D80" s="2"/>
      <c r="E80" s="2"/>
      <c r="F80" s="2"/>
      <c r="G80" s="2"/>
      <c r="H80" s="81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x14ac:dyDescent="0.25">
      <c r="A81" s="2"/>
      <c r="B81" s="2"/>
      <c r="C81" s="2"/>
      <c r="D81" s="2"/>
      <c r="E81" s="2"/>
      <c r="F81" s="2"/>
      <c r="G81" s="2"/>
      <c r="H81" s="81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x14ac:dyDescent="0.25">
      <c r="A82" s="2"/>
      <c r="B82" s="2"/>
      <c r="C82" s="2"/>
      <c r="D82" s="2"/>
      <c r="E82" s="2"/>
      <c r="F82" s="2"/>
      <c r="G82" s="2"/>
      <c r="H82" s="81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x14ac:dyDescent="0.25">
      <c r="A83" s="2"/>
      <c r="B83" s="2"/>
      <c r="C83" s="2"/>
      <c r="D83" s="2"/>
      <c r="E83" s="2"/>
      <c r="F83" s="2"/>
      <c r="G83" s="2"/>
      <c r="H83" s="81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x14ac:dyDescent="0.25">
      <c r="A84" s="2"/>
      <c r="B84" s="2"/>
      <c r="C84" s="2"/>
      <c r="D84" s="2"/>
      <c r="E84" s="2"/>
      <c r="F84" s="2"/>
      <c r="G84" s="2"/>
      <c r="H84" s="81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x14ac:dyDescent="0.25">
      <c r="A85" s="2"/>
      <c r="B85" s="2"/>
      <c r="C85" s="2"/>
      <c r="D85" s="2"/>
      <c r="E85" s="2"/>
      <c r="F85" s="2"/>
      <c r="G85" s="2"/>
      <c r="H85" s="81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x14ac:dyDescent="0.25">
      <c r="A86" s="2"/>
      <c r="B86" s="2"/>
      <c r="C86" s="2"/>
      <c r="D86" s="2"/>
      <c r="E86" s="2"/>
      <c r="F86" s="2"/>
      <c r="G86" s="2"/>
      <c r="H86" s="81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x14ac:dyDescent="0.25">
      <c r="A87" s="2"/>
      <c r="B87" s="2"/>
      <c r="C87" s="2"/>
      <c r="D87" s="2"/>
      <c r="E87" s="2"/>
      <c r="F87" s="2"/>
      <c r="G87" s="2"/>
      <c r="H87" s="81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x14ac:dyDescent="0.25">
      <c r="A88" s="2"/>
      <c r="B88" s="2"/>
      <c r="C88" s="2"/>
      <c r="D88" s="2"/>
      <c r="E88" s="2"/>
      <c r="F88" s="2"/>
      <c r="G88" s="2"/>
      <c r="H88" s="81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x14ac:dyDescent="0.25">
      <c r="A89" s="2"/>
      <c r="B89" s="2"/>
      <c r="C89" s="2"/>
      <c r="D89" s="2"/>
      <c r="E89" s="2"/>
      <c r="F89" s="2"/>
      <c r="G89" s="2"/>
      <c r="H89" s="81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x14ac:dyDescent="0.25">
      <c r="A90" s="2"/>
      <c r="B90" s="2"/>
      <c r="C90" s="2"/>
      <c r="D90" s="2"/>
      <c r="E90" s="2"/>
      <c r="F90" s="2"/>
      <c r="G90" s="2"/>
      <c r="H90" s="81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x14ac:dyDescent="0.25">
      <c r="A91" s="2"/>
      <c r="B91" s="2"/>
      <c r="C91" s="2"/>
      <c r="D91" s="2"/>
      <c r="E91" s="2"/>
      <c r="F91" s="2"/>
      <c r="G91" s="2"/>
      <c r="H91" s="81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x14ac:dyDescent="0.25">
      <c r="A92" s="2"/>
      <c r="B92" s="2"/>
      <c r="C92" s="2"/>
      <c r="D92" s="2"/>
      <c r="E92" s="2"/>
      <c r="F92" s="2"/>
      <c r="G92" s="2"/>
      <c r="H92" s="81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x14ac:dyDescent="0.25">
      <c r="A93" s="2"/>
      <c r="B93" s="2"/>
      <c r="C93" s="2"/>
      <c r="D93" s="2"/>
      <c r="E93" s="2"/>
      <c r="F93" s="2"/>
      <c r="G93" s="2"/>
      <c r="H93" s="81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x14ac:dyDescent="0.25">
      <c r="A94" s="2"/>
      <c r="B94" s="2"/>
      <c r="C94" s="2"/>
      <c r="D94" s="2"/>
      <c r="E94" s="2"/>
      <c r="F94" s="2"/>
      <c r="G94" s="2"/>
      <c r="H94" s="81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x14ac:dyDescent="0.25">
      <c r="A95" s="2"/>
      <c r="B95" s="2"/>
      <c r="C95" s="2"/>
      <c r="D95" s="2"/>
      <c r="E95" s="2"/>
      <c r="F95" s="2"/>
      <c r="G95" s="2"/>
      <c r="H95" s="81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x14ac:dyDescent="0.25">
      <c r="A96" s="2"/>
      <c r="B96" s="2"/>
      <c r="C96" s="2"/>
      <c r="D96" s="2"/>
      <c r="E96" s="2"/>
      <c r="F96" s="2"/>
      <c r="G96" s="2"/>
      <c r="H96" s="81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x14ac:dyDescent="0.25">
      <c r="A97" s="2"/>
      <c r="B97" s="2"/>
      <c r="C97" s="2"/>
      <c r="D97" s="2"/>
      <c r="E97" s="2"/>
      <c r="F97" s="2"/>
      <c r="G97" s="2"/>
      <c r="H97" s="81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x14ac:dyDescent="0.25">
      <c r="A98" s="2"/>
      <c r="B98" s="2"/>
      <c r="C98" s="2"/>
      <c r="D98" s="2"/>
      <c r="E98" s="2"/>
      <c r="F98" s="2"/>
      <c r="G98" s="2"/>
      <c r="H98" s="81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x14ac:dyDescent="0.25">
      <c r="A99" s="2"/>
      <c r="B99" s="2"/>
      <c r="C99" s="2"/>
      <c r="D99" s="2"/>
      <c r="E99" s="2"/>
      <c r="F99" s="2"/>
      <c r="G99" s="2"/>
      <c r="H99" s="81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x14ac:dyDescent="0.25">
      <c r="A100" s="2"/>
      <c r="B100" s="2"/>
      <c r="C100" s="2"/>
      <c r="D100" s="2"/>
      <c r="E100" s="2"/>
      <c r="F100" s="2"/>
      <c r="G100" s="2"/>
      <c r="H100" s="81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x14ac:dyDescent="0.25">
      <c r="A101" s="2"/>
      <c r="B101" s="2"/>
      <c r="C101" s="2"/>
      <c r="D101" s="2"/>
      <c r="E101" s="2"/>
      <c r="F101" s="2"/>
      <c r="G101" s="2"/>
      <c r="H101" s="81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x14ac:dyDescent="0.25">
      <c r="A102" s="2"/>
      <c r="B102" s="2"/>
      <c r="C102" s="2"/>
      <c r="D102" s="2"/>
      <c r="E102" s="2"/>
      <c r="F102" s="2"/>
      <c r="G102" s="2"/>
      <c r="H102" s="81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x14ac:dyDescent="0.25">
      <c r="A103" s="2"/>
      <c r="B103" s="2"/>
      <c r="C103" s="2"/>
      <c r="D103" s="2"/>
      <c r="E103" s="2"/>
      <c r="F103" s="2"/>
      <c r="G103" s="2"/>
      <c r="H103" s="81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</sheetData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D4911-2536-44C3-89DB-DC5F8BA1D84D}">
  <sheetPr codeName="Sheet4"/>
  <dimension ref="A1:AW51"/>
  <sheetViews>
    <sheetView tabSelected="1" workbookViewId="0">
      <selection activeCell="E18" sqref="E18"/>
    </sheetView>
  </sheetViews>
  <sheetFormatPr defaultRowHeight="15" x14ac:dyDescent="0.25"/>
  <sheetData>
    <row r="1" spans="1:49" ht="15.75" thickBot="1" x14ac:dyDescent="0.3">
      <c r="A1" s="117" t="s">
        <v>89</v>
      </c>
      <c r="B1" s="117"/>
      <c r="C1" s="117"/>
      <c r="D1" s="117"/>
      <c r="E1" s="117"/>
      <c r="F1" s="117" t="s">
        <v>93</v>
      </c>
      <c r="G1" s="117"/>
      <c r="H1" s="117"/>
      <c r="I1" s="117"/>
      <c r="J1" s="117"/>
      <c r="K1" s="117"/>
      <c r="L1" s="117"/>
      <c r="M1" s="117"/>
    </row>
    <row r="2" spans="1:49" ht="15.75" thickBot="1" x14ac:dyDescent="0.3">
      <c r="A2" s="117" t="s">
        <v>51</v>
      </c>
      <c r="B2" s="117"/>
      <c r="C2" s="117"/>
      <c r="D2" s="117"/>
      <c r="E2" s="117"/>
      <c r="F2" s="117" t="s">
        <v>94</v>
      </c>
      <c r="G2" s="117"/>
      <c r="H2" s="117"/>
      <c r="I2" s="117"/>
      <c r="J2" s="117"/>
      <c r="K2" s="117"/>
      <c r="L2" s="117"/>
      <c r="M2" s="11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15.75" thickBot="1" x14ac:dyDescent="0.3">
      <c r="A3" s="117" t="s">
        <v>52</v>
      </c>
      <c r="B3" s="117"/>
      <c r="C3" s="117"/>
      <c r="D3" s="117"/>
      <c r="E3" s="117"/>
      <c r="F3" s="117" t="s">
        <v>53</v>
      </c>
      <c r="G3" s="117"/>
      <c r="H3" s="117"/>
      <c r="I3" s="117"/>
      <c r="J3" s="117"/>
      <c r="K3" s="117"/>
      <c r="L3" s="117"/>
      <c r="M3" s="11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15.75" thickBot="1" x14ac:dyDescent="0.3">
      <c r="A4" s="117" t="s">
        <v>109</v>
      </c>
      <c r="B4" s="117"/>
      <c r="C4" s="117"/>
      <c r="D4" s="117"/>
      <c r="E4" s="117"/>
      <c r="F4" s="117" t="s">
        <v>110</v>
      </c>
      <c r="G4" s="117"/>
      <c r="H4" s="117"/>
      <c r="I4" s="117"/>
      <c r="J4" s="117"/>
      <c r="K4" s="117"/>
      <c r="L4" s="117"/>
      <c r="M4" s="117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</row>
    <row r="5" spans="1:49" ht="15.75" thickBot="1" x14ac:dyDescent="0.3">
      <c r="A5" s="117" t="s">
        <v>111</v>
      </c>
      <c r="B5" s="117"/>
      <c r="C5" s="117"/>
      <c r="D5" s="117"/>
      <c r="E5" s="117"/>
      <c r="F5" s="117" t="s">
        <v>112</v>
      </c>
      <c r="G5" s="117"/>
      <c r="H5" s="117"/>
      <c r="I5" s="117"/>
      <c r="J5" s="117"/>
      <c r="K5" s="117"/>
      <c r="L5" s="117"/>
      <c r="M5" s="117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</row>
    <row r="6" spans="1:49" ht="15.75" thickBot="1" x14ac:dyDescent="0.3">
      <c r="A6" s="116" t="s">
        <v>54</v>
      </c>
      <c r="B6" s="116"/>
      <c r="C6" s="116"/>
      <c r="D6" s="116"/>
      <c r="E6" s="116"/>
      <c r="F6" s="116" t="s">
        <v>55</v>
      </c>
      <c r="G6" s="116"/>
      <c r="H6" s="116"/>
      <c r="I6" s="116"/>
      <c r="J6" s="116"/>
      <c r="K6" s="116"/>
      <c r="L6" s="116"/>
      <c r="M6" s="116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</row>
    <row r="7" spans="1:49" ht="15.75" thickBot="1" x14ac:dyDescent="0.3">
      <c r="A7" s="116" t="s">
        <v>57</v>
      </c>
      <c r="B7" s="116"/>
      <c r="C7" s="116"/>
      <c r="D7" s="116"/>
      <c r="E7" s="116"/>
      <c r="F7" s="116" t="s">
        <v>56</v>
      </c>
      <c r="G7" s="116"/>
      <c r="H7" s="116"/>
      <c r="I7" s="116"/>
      <c r="J7" s="116"/>
      <c r="K7" s="116"/>
      <c r="L7" s="116"/>
      <c r="M7" s="116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1:4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4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4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</row>
    <row r="11" spans="1:4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1:4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1:4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1:4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1:4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1:4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1:4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1:4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1:4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1:4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1:4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1:4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1:4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1:4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1:4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1:4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1:4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1:4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1:4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1:4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1:4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1:4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:4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:4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</row>
    <row r="35" spans="1:4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:4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:4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:4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:4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</row>
    <row r="40" spans="1:4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</row>
    <row r="41" spans="1:49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</row>
    <row r="42" spans="1:49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</row>
    <row r="43" spans="1:49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</row>
    <row r="44" spans="1:49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</row>
    <row r="45" spans="1:49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</row>
    <row r="46" spans="1:49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</row>
    <row r="47" spans="1:49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</row>
    <row r="48" spans="1:49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</row>
    <row r="49" spans="1:49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</row>
    <row r="50" spans="1:49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</row>
    <row r="51" spans="1:4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</row>
  </sheetData>
  <mergeCells count="14">
    <mergeCell ref="A7:E7"/>
    <mergeCell ref="F7:M7"/>
    <mergeCell ref="A1:E1"/>
    <mergeCell ref="F1:M1"/>
    <mergeCell ref="F2:M2"/>
    <mergeCell ref="F3:M3"/>
    <mergeCell ref="A2:E2"/>
    <mergeCell ref="A3:E3"/>
    <mergeCell ref="A6:E6"/>
    <mergeCell ref="F6:M6"/>
    <mergeCell ref="A4:E4"/>
    <mergeCell ref="F4:M4"/>
    <mergeCell ref="A5:E5"/>
    <mergeCell ref="F5:M5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Company ABC-20</vt:lpstr>
      <vt:lpstr>Company RVCA-25</vt:lpstr>
      <vt:lpstr>Company FHG-71</vt:lpstr>
      <vt:lpstr>Company LDY-34</vt:lpstr>
      <vt:lpstr>Company QOS-41</vt:lpstr>
      <vt:lpstr>MASTER</vt:lpstr>
      <vt:lpstr>INVOICE_MASTER</vt:lpstr>
      <vt:lpstr>DATA</vt:lpstr>
      <vt:lpstr>FILE_PATHS</vt:lpstr>
      <vt:lpstr>'Company ABC-20'!billing_desc</vt:lpstr>
      <vt:lpstr>'Company FHG-71'!billing_desc</vt:lpstr>
      <vt:lpstr>'Company LDY-34'!billing_desc</vt:lpstr>
      <vt:lpstr>'Company QOS-41'!billing_desc</vt:lpstr>
      <vt:lpstr>'Company RVCA-25'!billing_desc</vt:lpstr>
      <vt:lpstr>billing_desc</vt:lpstr>
      <vt:lpstr>color_rng</vt:lpstr>
      <vt:lpstr>comp_rng</vt:lpstr>
      <vt:lpstr>'Company ABC-20'!company_name</vt:lpstr>
      <vt:lpstr>'Company FHG-71'!company_name</vt:lpstr>
      <vt:lpstr>'Company LDY-34'!company_name</vt:lpstr>
      <vt:lpstr>'Company QOS-41'!company_name</vt:lpstr>
      <vt:lpstr>'Company RVCA-25'!company_name</vt:lpstr>
      <vt:lpstr>company_name</vt:lpstr>
      <vt:lpstr>days_due</vt:lpstr>
      <vt:lpstr>'Company ABC-20'!due_date</vt:lpstr>
      <vt:lpstr>'Company FHG-71'!due_date</vt:lpstr>
      <vt:lpstr>'Company LDY-34'!due_date</vt:lpstr>
      <vt:lpstr>'Company QOS-41'!due_date</vt:lpstr>
      <vt:lpstr>'Company RVCA-25'!due_date</vt:lpstr>
      <vt:lpstr>due_date</vt:lpstr>
      <vt:lpstr>file_path_py</vt:lpstr>
      <vt:lpstr>'Company ABC-20'!fill_white</vt:lpstr>
      <vt:lpstr>'Company FHG-71'!fill_white</vt:lpstr>
      <vt:lpstr>'Company LDY-34'!fill_white</vt:lpstr>
      <vt:lpstr>'Company QOS-41'!fill_white</vt:lpstr>
      <vt:lpstr>'Company RVCA-25'!fill_white</vt:lpstr>
      <vt:lpstr>fill_white</vt:lpstr>
      <vt:lpstr>'Company ABC-20'!inv_cost</vt:lpstr>
      <vt:lpstr>'Company FHG-71'!inv_cost</vt:lpstr>
      <vt:lpstr>'Company LDY-34'!inv_cost</vt:lpstr>
      <vt:lpstr>'Company QOS-41'!inv_cost</vt:lpstr>
      <vt:lpstr>'Company RVCA-25'!inv_cost</vt:lpstr>
      <vt:lpstr>inv_cost</vt:lpstr>
      <vt:lpstr>'Company ABC-20'!inv_num</vt:lpstr>
      <vt:lpstr>'Company FHG-71'!inv_num</vt:lpstr>
      <vt:lpstr>'Company LDY-34'!inv_num</vt:lpstr>
      <vt:lpstr>'Company QOS-41'!inv_num</vt:lpstr>
      <vt:lpstr>'Company RVCA-25'!inv_num</vt:lpstr>
      <vt:lpstr>inv_num</vt:lpstr>
      <vt:lpstr>item_desc</vt:lpstr>
      <vt:lpstr>last_inv_num</vt:lpstr>
      <vt:lpstr>main_py</vt:lpstr>
      <vt:lpstr>master_comp_name</vt:lpstr>
      <vt:lpstr>master_comp_num</vt:lpstr>
      <vt:lpstr>master_comp_total</vt:lpstr>
      <vt:lpstr>path_invoices</vt:lpstr>
      <vt:lpstr>python_exe_path</vt:lpstr>
      <vt:lpstr>'Company ABC-20'!todays_date</vt:lpstr>
      <vt:lpstr>'Company FHG-71'!todays_date</vt:lpstr>
      <vt:lpstr>'Company LDY-34'!todays_date</vt:lpstr>
      <vt:lpstr>'Company QOS-41'!todays_date</vt:lpstr>
      <vt:lpstr>'Company RVCA-25'!todays_date</vt:lpstr>
      <vt:lpstr>todays_date</vt:lpstr>
      <vt:lpstr>total_cost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ringl</dc:creator>
  <cp:lastModifiedBy>RingVision</cp:lastModifiedBy>
  <dcterms:created xsi:type="dcterms:W3CDTF">2019-11-29T15:39:34Z</dcterms:created>
  <dcterms:modified xsi:type="dcterms:W3CDTF">2020-10-30T11:19:33Z</dcterms:modified>
</cp:coreProperties>
</file>