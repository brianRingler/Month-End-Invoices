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Report\excel_file\"/>
    </mc:Choice>
  </mc:AlternateContent>
  <xr:revisionPtr revIDLastSave="0" documentId="13_ncr:1_{D3F19063-2DF3-4C66-B595-2362BA4568D5}" xr6:coauthVersionLast="45" xr6:coauthVersionMax="45" xr10:uidLastSave="{00000000-0000-0000-0000-000000000000}"/>
  <bookViews>
    <workbookView xWindow="57480" yWindow="60" windowWidth="29040" windowHeight="15990" tabRatio="852" activeTab="5" xr2:uid="{3CA01758-6334-43C2-B14F-CF28FCE91C59}"/>
  </bookViews>
  <sheets>
    <sheet name="Company ABC-20" sheetId="27" r:id="rId1"/>
    <sheet name="Company RVCA-25" sheetId="28" r:id="rId2"/>
    <sheet name="Company FHG-71" sheetId="29" r:id="rId3"/>
    <sheet name="Company LDY-34" sheetId="30" r:id="rId4"/>
    <sheet name="Company QOS-41" sheetId="31" r:id="rId5"/>
    <sheet name="MASTER" sheetId="4" r:id="rId6"/>
    <sheet name="INVOICE_MASTER" sheetId="3" r:id="rId7"/>
    <sheet name="DATA" sheetId="5" r:id="rId8"/>
    <sheet name="FILE_PATHS" sheetId="6" r:id="rId9"/>
  </sheets>
  <functionGroups builtInGroupCount="19"/>
  <definedNames>
    <definedName name="billing_desc" localSheetId="0">'Company ABC-20'!$D$20:$D$42</definedName>
    <definedName name="billing_desc" localSheetId="2">'Company FHG-71'!$D$20:$D$42</definedName>
    <definedName name="billing_desc" localSheetId="3">'Company LDY-34'!$D$20:$D$42</definedName>
    <definedName name="billing_desc" localSheetId="4">'Company QOS-41'!$D$20:$D$42</definedName>
    <definedName name="billing_desc" localSheetId="1">'Company RVCA-25'!$D$20:$D$42</definedName>
    <definedName name="billing_desc">INVOICE_MASTER!$D$20:$D$42</definedName>
    <definedName name="color_rng">MASTER!$A$26:$Q$132</definedName>
    <definedName name="comp_rng">MASTER!$Q$26:$Q$132</definedName>
    <definedName name="company_name" localSheetId="0">'Company ABC-20'!$D$14</definedName>
    <definedName name="company_name" localSheetId="2">'Company FHG-71'!$D$14</definedName>
    <definedName name="company_name" localSheetId="3">'Company LDY-34'!$D$14</definedName>
    <definedName name="company_name" localSheetId="4">'Company QOS-41'!$D$14</definedName>
    <definedName name="company_name" localSheetId="1">'Company RVCA-25'!$D$14</definedName>
    <definedName name="company_name">INVOICE_MASTER!$D$14</definedName>
    <definedName name="days_due">MASTER!$J$3:$J$21</definedName>
    <definedName name="due_date" localSheetId="0">'Company ABC-20'!$J$16</definedName>
    <definedName name="due_date" localSheetId="2">'Company FHG-71'!$J$16</definedName>
    <definedName name="due_date" localSheetId="3">'Company LDY-34'!$J$16</definedName>
    <definedName name="due_date" localSheetId="4">'Company QOS-41'!$J$16</definedName>
    <definedName name="due_date" localSheetId="1">'Company RVCA-25'!$J$16</definedName>
    <definedName name="due_date">INVOICE_MASTER!$J$16</definedName>
    <definedName name="file_path_py">FILE_PATHS!$F$2</definedName>
    <definedName name="fill_white" localSheetId="0">'Company ABC-20'!$D$20:$J$42</definedName>
    <definedName name="fill_white" localSheetId="2">'Company FHG-71'!$D$20:$J$42</definedName>
    <definedName name="fill_white" localSheetId="3">'Company LDY-34'!$D$20:$J$42</definedName>
    <definedName name="fill_white" localSheetId="4">'Company QOS-41'!$D$20:$J$42</definedName>
    <definedName name="fill_white" localSheetId="1">'Company RVCA-25'!$D$20:$J$42</definedName>
    <definedName name="fill_white">INVOICE_MASTER!$D$20:$J$42</definedName>
    <definedName name="inv_cost" localSheetId="0">'Company ABC-20'!$I$20:$I$42</definedName>
    <definedName name="inv_cost" localSheetId="2">'Company FHG-71'!$I$20:$I$42</definedName>
    <definedName name="inv_cost" localSheetId="3">'Company LDY-34'!$I$20:$I$42</definedName>
    <definedName name="inv_cost" localSheetId="4">'Company QOS-41'!$I$20:$I$42</definedName>
    <definedName name="inv_cost" localSheetId="1">'Company RVCA-25'!$I$20:$I$42</definedName>
    <definedName name="inv_cost">INVOICE_MASTER!$I$20:$I$42</definedName>
    <definedName name="inv_num" localSheetId="0">'Company ABC-20'!$J$13</definedName>
    <definedName name="inv_num" localSheetId="2">'Company FHG-71'!$J$13</definedName>
    <definedName name="inv_num" localSheetId="3">'Company LDY-34'!$J$13</definedName>
    <definedName name="inv_num" localSheetId="4">'Company QOS-41'!$J$13</definedName>
    <definedName name="inv_num" localSheetId="1">'Company RVCA-25'!$J$13</definedName>
    <definedName name="inv_num">INVOICE_MASTER!$J$13</definedName>
    <definedName name="item_desc">MASTER!$A$26:$A$132</definedName>
    <definedName name="last_inv_num">DATA!$W$2</definedName>
    <definedName name="main_py">FILE_PATHS!$F$6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 localSheetId="0">'Company ABC-20'!$J$15</definedName>
    <definedName name="todays_date" localSheetId="2">'Company FHG-71'!$J$15</definedName>
    <definedName name="todays_date" localSheetId="3">'Company LDY-34'!$J$15</definedName>
    <definedName name="todays_date" localSheetId="4">'Company QOS-41'!$J$15</definedName>
    <definedName name="todays_date" localSheetId="1">'Company RVCA-25'!$J$15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3" i="31" l="1"/>
  <c r="I43" i="30"/>
  <c r="I43" i="29"/>
  <c r="I43" i="28"/>
  <c r="I43" i="27"/>
  <c r="A3" i="5" l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" i="5"/>
  <c r="E14" i="5" l="1"/>
  <c r="E13" i="5"/>
  <c r="E12" i="5"/>
  <c r="E11" i="5"/>
  <c r="E10" i="5"/>
  <c r="E9" i="5"/>
  <c r="E8" i="5"/>
  <c r="E7" i="5"/>
  <c r="E6" i="5"/>
  <c r="E5" i="5"/>
  <c r="E4" i="5"/>
  <c r="E3" i="5"/>
  <c r="E2" i="5"/>
  <c r="G2" i="5" l="1"/>
  <c r="Q50" i="4" l="1"/>
  <c r="Q51" i="4"/>
  <c r="B22" i="4" l="1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Q53" i="4"/>
  <c r="P52" i="4"/>
  <c r="Q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Q64" i="4"/>
  <c r="Q62" i="4"/>
  <c r="Q60" i="4"/>
  <c r="P15" i="4" l="1"/>
  <c r="P9" i="4"/>
  <c r="P11" i="4"/>
  <c r="P10" i="4"/>
  <c r="P4" i="4"/>
  <c r="P12" i="4"/>
  <c r="P14" i="4"/>
  <c r="P3" i="4"/>
  <c r="P13" i="4"/>
  <c r="P5" i="4"/>
  <c r="P7" i="4"/>
  <c r="P8" i="4"/>
  <c r="P6" i="4"/>
  <c r="I43" i="3"/>
  <c r="P22" i="4" l="1"/>
</calcChain>
</file>

<file path=xl/sharedStrings.xml><?xml version="1.0" encoding="utf-8"?>
<sst xmlns="http://schemas.openxmlformats.org/spreadsheetml/2006/main" count="230" uniqueCount="113">
  <si>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</si>
  <si>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</si>
  <si>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</si>
  <si>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</si>
  <si>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</si>
  <si>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</si>
  <si>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</si>
  <si>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</si>
  <si>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</si>
  <si>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</si>
  <si>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</si>
  <si>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</si>
  <si>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</si>
  <si>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</si>
  <si>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</si>
  <si>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</si>
  <si>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</si>
  <si>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</si>
  <si>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</si>
  <si>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</si>
  <si>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</si>
  <si>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PO  BOX  12345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</si>
  <si>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</si>
  <si>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</si>
  <si>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</si>
  <si>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</si>
  <si>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</si>
  <si>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</si>
  <si>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</si>
  <si>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</si>
  <si>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</si>
  <si>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</si>
  <si>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</si>
  <si>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</si>
  <si>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</si>
  <si>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</si>
  <si>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</si>
  <si>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</si>
  <si>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Other</t>
  </si>
  <si>
    <t>Training</t>
  </si>
  <si>
    <t>somePlaceWarm, N.C. 1236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</si>
  <si>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</si>
  <si>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</si>
  <si>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</si>
  <si>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</si>
  <si>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</si>
  <si>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</si>
  <si>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</si>
  <si>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</si>
  <si>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</si>
  <si>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</si>
  <si>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</si>
  <si>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</si>
  <si>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</si>
  <si>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Python Main Script</t>
  </si>
  <si>
    <t>main.py</t>
  </si>
  <si>
    <t>outlookSend.py</t>
  </si>
  <si>
    <t>Send Email</t>
  </si>
  <si>
    <t>Description Purchase 1</t>
  </si>
  <si>
    <t>Description Purchase 2</t>
  </si>
  <si>
    <t>Description Purchase 3</t>
  </si>
  <si>
    <t>Description Purchase 4</t>
  </si>
  <si>
    <t>Description Purchase 5</t>
  </si>
  <si>
    <t>Description Purchase 6</t>
  </si>
  <si>
    <t>Description Purchase 7</t>
  </si>
  <si>
    <t>Description Purchase 8</t>
  </si>
  <si>
    <t>Description Purchase 9</t>
  </si>
  <si>
    <t>Description Purchase 10</t>
  </si>
  <si>
    <t>Description Purchase 11</t>
  </si>
  <si>
    <t>Description Purchase 12</t>
  </si>
  <si>
    <t>Description Purchase 13</t>
  </si>
  <si>
    <t>Description Purchase 14</t>
  </si>
  <si>
    <t>Description Purchase 16</t>
  </si>
  <si>
    <t>Description Purchase 17</t>
  </si>
  <si>
    <t>Description Purchase 18</t>
  </si>
  <si>
    <t>From file 3 Description</t>
  </si>
  <si>
    <t>From File 2 Description</t>
  </si>
  <si>
    <t>Company FHG</t>
  </si>
  <si>
    <t>Company JJJ</t>
  </si>
  <si>
    <t>Company KLS</t>
  </si>
  <si>
    <t>Company OPD</t>
  </si>
  <si>
    <t>Company TTT</t>
  </si>
  <si>
    <t>Company WWW</t>
  </si>
  <si>
    <t>Company OOO</t>
  </si>
  <si>
    <t>Company LLL</t>
  </si>
  <si>
    <t>Company LDY</t>
  </si>
  <si>
    <t>Company QOS</t>
  </si>
  <si>
    <t>Company LSTAT</t>
  </si>
  <si>
    <t>This is a plain text email sent using win32com.Client.  HTML is an option, if desired, file should be attached for company: Company ABC</t>
  </si>
  <si>
    <t>Enter path where the invoices will be saved</t>
  </si>
  <si>
    <t>due_date_days</t>
  </si>
  <si>
    <t>last_inv_num</t>
  </si>
  <si>
    <t>Days Due</t>
  </si>
  <si>
    <t>C:\_Excel_Examples\Expense_Report\invoices</t>
  </si>
  <si>
    <t>C:\_Excel_Examples\Expense_Report\python_script</t>
  </si>
  <si>
    <t>email - 1</t>
  </si>
  <si>
    <t>email - 2</t>
  </si>
  <si>
    <t>email - 3</t>
  </si>
  <si>
    <t>email - 4</t>
  </si>
  <si>
    <t>email - 5</t>
  </si>
  <si>
    <t>email - 6</t>
  </si>
  <si>
    <t>email - 7</t>
  </si>
  <si>
    <t>email - 8</t>
  </si>
  <si>
    <t>email - 9</t>
  </si>
  <si>
    <t>email - 10</t>
  </si>
  <si>
    <t>email - 11</t>
  </si>
  <si>
    <t>email - 12</t>
  </si>
  <si>
    <t>email - 13</t>
  </si>
  <si>
    <t>Company RVCA</t>
  </si>
  <si>
    <t>Enter the Workbook name</t>
  </si>
  <si>
    <t>expense_report_app_v03_00.xlsm</t>
  </si>
  <si>
    <t>Enter the path to the master Workbook</t>
  </si>
  <si>
    <t>C:\_Excel_Examples\Expense_Report\excel_file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</si>
</sst>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$&quot;#,##0.00;[Red]\(#&quot;$&quot;\,##0.00\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b/>
      <sz val="12"/>
      <color rgb="FFFF990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rgb="FFFF9900"/>
      <name val="Tahoma"/>
      <family val="2"/>
    </font>
    <font>
      <b/>
      <sz val="10"/>
      <color rgb="FFFF9900"/>
      <name val="Tahoma"/>
      <family val="2"/>
    </font>
    <font>
      <sz val="10"/>
      <color rgb="FFFF9900"/>
      <name val="Tahoma"/>
      <family val="2"/>
    </font>
    <font>
      <sz val="11"/>
      <color rgb="FFFF9900"/>
      <name val="Tahoma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10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1" fillId="2" borderId="0" xfId="0" applyNumberFormat="1" applyFont="1" applyFill="1" applyAlignment="1">
      <alignment horizontal="left"/>
    </xf>
    <xf numFmtId="43" fontId="11" fillId="2" borderId="0" xfId="0" applyNumberFormat="1" applyFont="1" applyFill="1" applyAlignment="1">
      <alignment horizontal="left"/>
    </xf>
    <xf numFmtId="4" fontId="14" fillId="2" borderId="0" xfId="0" applyNumberFormat="1" applyFont="1" applyFill="1"/>
    <xf numFmtId="44" fontId="13" fillId="2" borderId="0" xfId="1" applyFont="1" applyFill="1"/>
    <xf numFmtId="0" fontId="15" fillId="2" borderId="0" xfId="0" applyFont="1" applyFill="1"/>
    <xf numFmtId="0" fontId="15" fillId="3" borderId="15" xfId="0" applyFont="1" applyFill="1" applyBorder="1"/>
    <xf numFmtId="0" fontId="9" fillId="2" borderId="0" xfId="0" applyFont="1" applyFill="1" applyAlignment="1">
      <alignment horizontal="center"/>
    </xf>
    <xf numFmtId="44" fontId="9" fillId="2" borderId="0" xfId="1" applyFont="1" applyFill="1" applyBorder="1" applyAlignment="1">
      <alignment horizontal="right"/>
    </xf>
    <xf numFmtId="0" fontId="0" fillId="3" borderId="0" xfId="0" applyFill="1"/>
    <xf numFmtId="43" fontId="9" fillId="2" borderId="0" xfId="0" applyNumberFormat="1" applyFont="1" applyFill="1" applyAlignment="1"/>
    <xf numFmtId="14" fontId="12" fillId="2" borderId="0" xfId="0" applyNumberFormat="1" applyFont="1" applyFill="1" applyAlignment="1">
      <alignment horizontal="right"/>
    </xf>
    <xf numFmtId="14" fontId="12" fillId="2" borderId="0" xfId="0" applyNumberFormat="1" applyFont="1" applyFill="1" applyAlignment="1">
      <alignment horizontal="center"/>
    </xf>
    <xf numFmtId="4" fontId="13" fillId="6" borderId="17" xfId="0" applyNumberFormat="1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wrapText="1"/>
    </xf>
    <xf numFmtId="7" fontId="15" fillId="2" borderId="9" xfId="1" applyNumberFormat="1" applyFont="1" applyFill="1" applyBorder="1" applyAlignment="1">
      <alignment wrapText="1"/>
    </xf>
    <xf numFmtId="7" fontId="15" fillId="2" borderId="9" xfId="1" applyNumberFormat="1" applyFont="1" applyFill="1" applyBorder="1" applyAlignment="1">
      <alignment horizontal="right"/>
    </xf>
    <xf numFmtId="44" fontId="15" fillId="2" borderId="9" xfId="1" applyFont="1" applyFill="1" applyBorder="1" applyAlignment="1">
      <alignment horizontal="right"/>
    </xf>
    <xf numFmtId="44" fontId="12" fillId="2" borderId="9" xfId="1" applyFont="1" applyFill="1" applyBorder="1"/>
    <xf numFmtId="37" fontId="15" fillId="2" borderId="10" xfId="1" applyNumberFormat="1" applyFont="1" applyFill="1" applyBorder="1" applyAlignment="1">
      <alignment horizontal="center"/>
    </xf>
    <xf numFmtId="0" fontId="15" fillId="5" borderId="11" xfId="0" applyFont="1" applyFill="1" applyBorder="1" applyAlignment="1">
      <alignment vertical="top" wrapText="1"/>
    </xf>
    <xf numFmtId="7" fontId="15" fillId="5" borderId="12" xfId="1" applyNumberFormat="1" applyFont="1" applyFill="1" applyBorder="1" applyAlignment="1">
      <alignment vertical="top" wrapText="1"/>
    </xf>
    <xf numFmtId="44" fontId="15" fillId="5" borderId="12" xfId="1" applyFont="1" applyFill="1" applyBorder="1" applyAlignment="1">
      <alignment horizontal="right"/>
    </xf>
    <xf numFmtId="44" fontId="12" fillId="5" borderId="12" xfId="1" applyFont="1" applyFill="1" applyBorder="1"/>
    <xf numFmtId="37" fontId="15" fillId="5" borderId="13" xfId="1" applyNumberFormat="1" applyFont="1" applyFill="1" applyBorder="1" applyAlignment="1">
      <alignment horizontal="center"/>
    </xf>
    <xf numFmtId="0" fontId="15" fillId="0" borderId="11" xfId="0" applyFont="1" applyFill="1" applyBorder="1" applyAlignment="1">
      <alignment vertical="top" wrapText="1"/>
    </xf>
    <xf numFmtId="7" fontId="15" fillId="2" borderId="12" xfId="1" applyNumberFormat="1" applyFont="1" applyFill="1" applyBorder="1" applyAlignment="1">
      <alignment vertical="top" wrapText="1"/>
    </xf>
    <xf numFmtId="44" fontId="15" fillId="2" borderId="12" xfId="1" applyFont="1" applyFill="1" applyBorder="1" applyAlignment="1">
      <alignment horizontal="right"/>
    </xf>
    <xf numFmtId="44" fontId="12" fillId="2" borderId="12" xfId="1" applyFont="1" applyFill="1" applyBorder="1"/>
    <xf numFmtId="7" fontId="15" fillId="3" borderId="12" xfId="1" applyNumberFormat="1" applyFont="1" applyFill="1" applyBorder="1" applyAlignment="1">
      <alignment vertical="top" wrapText="1"/>
    </xf>
    <xf numFmtId="44" fontId="15" fillId="3" borderId="12" xfId="1" applyFont="1" applyFill="1" applyBorder="1" applyAlignment="1">
      <alignment horizontal="right"/>
    </xf>
    <xf numFmtId="44" fontId="12" fillId="3" borderId="12" xfId="1" applyFont="1" applyFill="1" applyBorder="1"/>
    <xf numFmtId="37" fontId="15" fillId="3" borderId="13" xfId="1" applyNumberFormat="1" applyFont="1" applyFill="1" applyBorder="1" applyAlignment="1">
      <alignment horizontal="center"/>
    </xf>
    <xf numFmtId="44" fontId="15" fillId="3" borderId="12" xfId="1" applyFont="1" applyFill="1" applyBorder="1" applyAlignment="1">
      <alignment vertical="top" wrapText="1"/>
    </xf>
    <xf numFmtId="0" fontId="15" fillId="0" borderId="14" xfId="0" applyFont="1" applyFill="1" applyBorder="1" applyAlignment="1">
      <alignment vertical="top" wrapText="1"/>
    </xf>
    <xf numFmtId="44" fontId="15" fillId="3" borderId="15" xfId="1" applyFont="1" applyFill="1" applyBorder="1" applyAlignment="1">
      <alignment vertical="top" wrapText="1"/>
    </xf>
    <xf numFmtId="44" fontId="15" fillId="3" borderId="15" xfId="1" applyFont="1" applyFill="1" applyBorder="1" applyAlignment="1">
      <alignment horizontal="right"/>
    </xf>
    <xf numFmtId="44" fontId="12" fillId="3" borderId="15" xfId="1" applyFont="1" applyFill="1" applyBorder="1"/>
    <xf numFmtId="37" fontId="15" fillId="3" borderId="16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7" borderId="27" xfId="0" applyFill="1" applyBorder="1"/>
    <xf numFmtId="0" fontId="16" fillId="2" borderId="0" xfId="0" applyFont="1" applyFill="1" applyAlignment="1">
      <alignment horizontal="center"/>
    </xf>
    <xf numFmtId="0" fontId="16" fillId="8" borderId="27" xfId="0" applyFont="1" applyFill="1" applyBorder="1" applyAlignment="1">
      <alignment horizontal="center"/>
    </xf>
    <xf numFmtId="164" fontId="0" fillId="7" borderId="27" xfId="0" applyNumberFormat="1" applyFill="1" applyBorder="1"/>
    <xf numFmtId="165" fontId="0" fillId="3" borderId="0" xfId="0" applyNumberFormat="1" applyFill="1"/>
    <xf numFmtId="44" fontId="13" fillId="2" borderId="29" xfId="1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44" fontId="13" fillId="5" borderId="32" xfId="1" applyFont="1" applyFill="1" applyBorder="1" applyAlignment="1">
      <alignment horizontal="center"/>
    </xf>
    <xf numFmtId="0" fontId="12" fillId="5" borderId="33" xfId="0" applyFont="1" applyFill="1" applyBorder="1" applyAlignment="1">
      <alignment horizontal="center"/>
    </xf>
    <xf numFmtId="44" fontId="13" fillId="2" borderId="32" xfId="1" applyFont="1" applyFill="1" applyBorder="1" applyAlignment="1">
      <alignment horizontal="center"/>
    </xf>
    <xf numFmtId="0" fontId="12" fillId="2" borderId="33" xfId="0" applyFont="1" applyFill="1" applyBorder="1" applyAlignment="1">
      <alignment horizontal="center"/>
    </xf>
    <xf numFmtId="44" fontId="13" fillId="5" borderId="35" xfId="1" applyFont="1" applyFill="1" applyBorder="1" applyAlignment="1">
      <alignment horizontal="center"/>
    </xf>
    <xf numFmtId="0" fontId="12" fillId="5" borderId="36" xfId="0" applyFont="1" applyFill="1" applyBorder="1" applyAlignment="1">
      <alignment horizontal="center"/>
    </xf>
    <xf numFmtId="1" fontId="16" fillId="8" borderId="27" xfId="0" applyNumberFormat="1" applyFont="1" applyFill="1" applyBorder="1" applyAlignment="1">
      <alignment horizontal="center"/>
    </xf>
    <xf numFmtId="1" fontId="0" fillId="7" borderId="27" xfId="0" applyNumberFormat="1" applyFill="1" applyBorder="1"/>
    <xf numFmtId="1" fontId="0" fillId="2" borderId="0" xfId="0" applyNumberFormat="1" applyFill="1"/>
    <xf numFmtId="1" fontId="0" fillId="0" borderId="0" xfId="0" applyNumberFormat="1"/>
    <xf numFmtId="0" fontId="13" fillId="6" borderId="37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0" fontId="12" fillId="5" borderId="34" xfId="0" applyFont="1" applyFill="1" applyBorder="1" applyAlignment="1">
      <alignment horizontal="center"/>
    </xf>
    <xf numFmtId="14" fontId="7" fillId="2" borderId="0" xfId="0" applyNumberFormat="1" applyFont="1" applyFill="1" applyBorder="1" applyAlignment="1">
      <alignment horizontal="center"/>
    </xf>
    <xf numFmtId="4" fontId="0" fillId="7" borderId="27" xfId="0" applyNumberFormat="1" applyFill="1" applyBorder="1"/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49" fontId="13" fillId="6" borderId="21" xfId="0" applyNumberFormat="1" applyFont="1" applyFill="1" applyBorder="1" applyAlignment="1">
      <alignment horizontal="center" vertical="center" wrapText="1"/>
    </xf>
    <xf numFmtId="49" fontId="13" fillId="6" borderId="25" xfId="0" applyNumberFormat="1" applyFont="1" applyFill="1" applyBorder="1" applyAlignment="1">
      <alignment horizontal="center" vertical="center" wrapText="1"/>
    </xf>
    <xf numFmtId="43" fontId="13" fillId="6" borderId="19" xfId="0" applyNumberFormat="1" applyFont="1" applyFill="1" applyBorder="1" applyAlignment="1">
      <alignment horizontal="center" vertical="center" wrapText="1"/>
    </xf>
    <xf numFmtId="43" fontId="13" fillId="6" borderId="23" xfId="0" applyNumberFormat="1" applyFont="1" applyFill="1" applyBorder="1" applyAlignment="1">
      <alignment horizontal="center" vertical="center" wrapText="1"/>
    </xf>
    <xf numFmtId="43" fontId="13" fillId="6" borderId="20" xfId="0" applyNumberFormat="1" applyFont="1" applyFill="1" applyBorder="1" applyAlignment="1">
      <alignment horizontal="center" vertical="center" wrapText="1"/>
    </xf>
    <xf numFmtId="43" fontId="13" fillId="6" borderId="24" xfId="0" applyNumberFormat="1" applyFont="1" applyFill="1" applyBorder="1" applyAlignment="1">
      <alignment horizontal="center" vertical="center" wrapText="1"/>
    </xf>
    <xf numFmtId="49" fontId="13" fillId="6" borderId="21" xfId="0" applyNumberFormat="1" applyFont="1" applyFill="1" applyBorder="1" applyAlignment="1">
      <alignment horizontal="center" vertical="center"/>
    </xf>
    <xf numFmtId="49" fontId="13" fillId="6" borderId="25" xfId="0" applyNumberFormat="1" applyFont="1" applyFill="1" applyBorder="1" applyAlignment="1">
      <alignment horizontal="center" vertical="center"/>
    </xf>
    <xf numFmtId="49" fontId="13" fillId="6" borderId="22" xfId="0" applyNumberFormat="1" applyFont="1" applyFill="1" applyBorder="1" applyAlignment="1">
      <alignment horizontal="center" vertical="center"/>
    </xf>
    <xf numFmtId="49" fontId="13" fillId="6" borderId="26" xfId="0" applyNumberFormat="1" applyFont="1" applyFill="1" applyBorder="1" applyAlignment="1">
      <alignment horizontal="center" vertical="center"/>
    </xf>
    <xf numFmtId="4" fontId="13" fillId="6" borderId="38" xfId="0" applyNumberFormat="1" applyFont="1" applyFill="1" applyBorder="1" applyAlignment="1">
      <alignment horizontal="center" vertical="center"/>
    </xf>
    <xf numFmtId="4" fontId="13" fillId="6" borderId="17" xfId="0" applyNumberFormat="1" applyFont="1" applyFill="1" applyBorder="1" applyAlignment="1">
      <alignment horizontal="center" vertical="center"/>
    </xf>
    <xf numFmtId="4" fontId="13" fillId="2" borderId="39" xfId="0" applyNumberFormat="1" applyFont="1" applyFill="1" applyBorder="1" applyAlignment="1">
      <alignment horizontal="center"/>
    </xf>
    <xf numFmtId="4" fontId="13" fillId="2" borderId="29" xfId="0" applyNumberFormat="1" applyFont="1" applyFill="1" applyBorder="1" applyAlignment="1">
      <alignment horizontal="center"/>
    </xf>
    <xf numFmtId="4" fontId="13" fillId="5" borderId="40" xfId="0" applyNumberFormat="1" applyFont="1" applyFill="1" applyBorder="1" applyAlignment="1">
      <alignment horizontal="center"/>
    </xf>
    <xf numFmtId="4" fontId="13" fillId="5" borderId="32" xfId="0" applyNumberFormat="1" applyFont="1" applyFill="1" applyBorder="1" applyAlignment="1">
      <alignment horizontal="center"/>
    </xf>
    <xf numFmtId="4" fontId="13" fillId="2" borderId="40" xfId="0" applyNumberFormat="1" applyFont="1" applyFill="1" applyBorder="1" applyAlignment="1">
      <alignment horizontal="center"/>
    </xf>
    <xf numFmtId="4" fontId="13" fillId="2" borderId="32" xfId="0" applyNumberFormat="1" applyFont="1" applyFill="1" applyBorder="1" applyAlignment="1">
      <alignment horizontal="center"/>
    </xf>
    <xf numFmtId="4" fontId="13" fillId="5" borderId="41" xfId="0" applyNumberFormat="1" applyFont="1" applyFill="1" applyBorder="1" applyAlignment="1">
      <alignment horizontal="center"/>
    </xf>
    <xf numFmtId="4" fontId="13" fillId="5" borderId="35" xfId="0" applyNumberFormat="1" applyFont="1" applyFill="1" applyBorder="1" applyAlignment="1">
      <alignment horizontal="center"/>
    </xf>
    <xf numFmtId="0" fontId="0" fillId="9" borderId="27" xfId="0" applyFill="1" applyBorder="1" applyAlignment="1">
      <alignment horizontal="left"/>
    </xf>
    <xf numFmtId="0" fontId="0" fillId="8" borderId="27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0B2E59-6453-4EFF-A1B2-CE99C3D04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BD80AF-01EA-4C61-A415-EB870A72B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F4617F-4A0F-4DBB-ABA3-59F08F798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C58B35-6143-4188-907B-914BBBF43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CB7134-3102-4738-A97B-F38A27E2C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233891</xdr:colOff>
      <xdr:row>0</xdr:row>
      <xdr:rowOff>110066</xdr:rowOff>
    </xdr:from>
    <xdr:to>
      <xdr:col>0</xdr:col>
      <xdr:colOff>2794211</xdr:colOff>
      <xdr:row>14</xdr:row>
      <xdr:rowOff>37383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C197C58-AF9E-4841-A339-E37753CC1EFD}"/>
            </a:ext>
          </a:extLst>
        </xdr:cNvPr>
        <xdr:cNvGrpSpPr/>
      </xdr:nvGrpSpPr>
      <xdr:grpSpPr>
        <a:xfrm>
          <a:off x="233891" y="110066"/>
          <a:ext cx="2560320" cy="2520234"/>
          <a:chOff x="233891" y="110066"/>
          <a:chExt cx="2560320" cy="2520234"/>
        </a:xfrm>
      </xdr:grpSpPr>
      <xdr:sp macro="[0]!populate_invoic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0641E2-0A96-446E-B638-E88E84D69490}"/>
              </a:ext>
            </a:extLst>
          </xdr:cNvPr>
          <xdr:cNvSpPr/>
        </xdr:nvSpPr>
        <xdr:spPr>
          <a:xfrm>
            <a:off x="233891" y="110066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Generate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Invoices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hide_rows_not_use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9CE435D-5272-4078-B430-1312B4294A72}"/>
              </a:ext>
            </a:extLst>
          </xdr:cNvPr>
          <xdr:cNvSpPr/>
        </xdr:nvSpPr>
        <xdr:spPr>
          <a:xfrm>
            <a:off x="233891" y="2173100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Hide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Rows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credit_card_csv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E5AEEFE-6A6C-4A01-BE2E-F5ACB49758A9}"/>
              </a:ext>
            </a:extLst>
          </xdr:cNvPr>
          <xdr:cNvSpPr/>
        </xdr:nvSpPr>
        <xdr:spPr>
          <a:xfrm>
            <a:off x="233891" y="777483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Import CSV Files</a:t>
            </a:r>
          </a:p>
        </xdr:txBody>
      </xdr:sp>
      <xdr:sp macro="[0]!show_column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4EDBD59-81BE-4480-856D-75FD0181303D}"/>
              </a:ext>
            </a:extLst>
          </xdr:cNvPr>
          <xdr:cNvSpPr/>
        </xdr:nvSpPr>
        <xdr:spPr>
          <a:xfrm>
            <a:off x="233891" y="1448612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Columns 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81050"/>
          <a:ext cx="1989667" cy="973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2DD2C-DAB9-4CEC-B144-4D3B43115E14}">
  <sheetPr codeName="Sheet5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50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20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44146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58</v>
      </c>
      <c r="E20" s="21"/>
      <c r="F20" s="20"/>
      <c r="G20" s="20"/>
      <c r="H20" s="20"/>
      <c r="I20" s="70">
        <v>100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59</v>
      </c>
      <c r="E21" s="21"/>
      <c r="F21" s="20"/>
      <c r="G21" s="20"/>
      <c r="H21" s="20"/>
      <c r="I21" s="70">
        <v>2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 t="s">
        <v>60</v>
      </c>
      <c r="E22" s="21"/>
      <c r="F22" s="20"/>
      <c r="G22" s="20"/>
      <c r="H22" s="20"/>
      <c r="I22" s="70">
        <v>1545</v>
      </c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 t="s">
        <v>61</v>
      </c>
      <c r="E23" s="21"/>
      <c r="F23" s="20"/>
      <c r="G23" s="20"/>
      <c r="H23" s="20"/>
      <c r="I23" s="70">
        <v>66</v>
      </c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 t="s">
        <v>62</v>
      </c>
      <c r="E24" s="20"/>
      <c r="F24" s="20"/>
      <c r="G24" s="20"/>
      <c r="H24" s="20"/>
      <c r="I24" s="70">
        <v>22</v>
      </c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 t="s">
        <v>63</v>
      </c>
      <c r="E25" s="20"/>
      <c r="F25" s="20"/>
      <c r="G25" s="20"/>
      <c r="H25" s="20"/>
      <c r="I25" s="70">
        <v>11</v>
      </c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 t="s">
        <v>64</v>
      </c>
      <c r="E26" s="20"/>
      <c r="F26" s="20"/>
      <c r="G26" s="20"/>
      <c r="H26" s="20"/>
      <c r="I26" s="70">
        <v>11</v>
      </c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1757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2425-22F5-4E31-9F78-7A1A9900ECB3}">
  <sheetPr codeName="Sheet6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51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108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44148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76</v>
      </c>
      <c r="E20" s="21"/>
      <c r="F20" s="20"/>
      <c r="G20" s="20"/>
      <c r="H20" s="20"/>
      <c r="I20" s="70">
        <v>222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76</v>
      </c>
      <c r="E21" s="21"/>
      <c r="F21" s="20"/>
      <c r="G21" s="20"/>
      <c r="H21" s="20"/>
      <c r="I21" s="70">
        <v>2222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/>
      <c r="E22" s="21"/>
      <c r="F22" s="20"/>
      <c r="G22" s="20"/>
      <c r="H22" s="20"/>
      <c r="I22" s="70"/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/>
      <c r="E23" s="21"/>
      <c r="F23" s="20"/>
      <c r="G23" s="20"/>
      <c r="H23" s="20"/>
      <c r="I23" s="70"/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/>
      <c r="E24" s="20"/>
      <c r="F24" s="20"/>
      <c r="G24" s="20"/>
      <c r="H24" s="20"/>
      <c r="I24" s="70"/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2444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419A-491D-4EA2-A1BA-970614EE6311}">
  <sheetPr codeName="Sheet7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52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77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44149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65</v>
      </c>
      <c r="E20" s="21"/>
      <c r="F20" s="20"/>
      <c r="G20" s="20"/>
      <c r="H20" s="20"/>
      <c r="I20" s="70">
        <v>11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66</v>
      </c>
      <c r="E21" s="21"/>
      <c r="F21" s="20"/>
      <c r="G21" s="20"/>
      <c r="H21" s="20"/>
      <c r="I21" s="70">
        <v>11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 t="s">
        <v>67</v>
      </c>
      <c r="E22" s="21"/>
      <c r="F22" s="20"/>
      <c r="G22" s="20"/>
      <c r="H22" s="20"/>
      <c r="I22" s="70">
        <v>11</v>
      </c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 t="s">
        <v>68</v>
      </c>
      <c r="E23" s="21"/>
      <c r="F23" s="20"/>
      <c r="G23" s="20"/>
      <c r="H23" s="20"/>
      <c r="I23" s="70">
        <v>11</v>
      </c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 t="s">
        <v>69</v>
      </c>
      <c r="E24" s="20"/>
      <c r="F24" s="20"/>
      <c r="G24" s="20"/>
      <c r="H24" s="20"/>
      <c r="I24" s="70">
        <v>11</v>
      </c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 t="s">
        <v>70</v>
      </c>
      <c r="E25" s="20"/>
      <c r="F25" s="20"/>
      <c r="G25" s="20"/>
      <c r="H25" s="20"/>
      <c r="I25" s="70">
        <v>11</v>
      </c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 t="s">
        <v>71</v>
      </c>
      <c r="E26" s="20"/>
      <c r="F26" s="20"/>
      <c r="G26" s="20"/>
      <c r="H26" s="20"/>
      <c r="I26" s="70">
        <v>11</v>
      </c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 t="s">
        <v>73</v>
      </c>
      <c r="E27" s="20"/>
      <c r="F27" s="20"/>
      <c r="G27" s="20"/>
      <c r="H27" s="20"/>
      <c r="I27" s="70">
        <v>11</v>
      </c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 t="s">
        <v>74</v>
      </c>
      <c r="E28" s="20"/>
      <c r="F28" s="20"/>
      <c r="G28" s="20"/>
      <c r="H28" s="20"/>
      <c r="I28" s="70">
        <v>11</v>
      </c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99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1FA5-9A61-43A3-B2C4-5C47D7BC151D}">
  <sheetPr codeName="Sheet8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53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85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44157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75</v>
      </c>
      <c r="E20" s="21"/>
      <c r="F20" s="20"/>
      <c r="G20" s="20"/>
      <c r="H20" s="20"/>
      <c r="I20" s="70">
        <v>2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75</v>
      </c>
      <c r="E21" s="21"/>
      <c r="F21" s="20"/>
      <c r="G21" s="20"/>
      <c r="H21" s="20"/>
      <c r="I21" s="70">
        <v>5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 t="s">
        <v>75</v>
      </c>
      <c r="E22" s="21"/>
      <c r="F22" s="20"/>
      <c r="G22" s="20"/>
      <c r="H22" s="20"/>
      <c r="I22" s="70">
        <v>22</v>
      </c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 t="s">
        <v>75</v>
      </c>
      <c r="E23" s="21"/>
      <c r="F23" s="20"/>
      <c r="G23" s="20"/>
      <c r="H23" s="20"/>
      <c r="I23" s="70">
        <v>111</v>
      </c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 t="s">
        <v>76</v>
      </c>
      <c r="E24" s="20"/>
      <c r="F24" s="20"/>
      <c r="G24" s="20"/>
      <c r="H24" s="20"/>
      <c r="I24" s="70">
        <v>2222</v>
      </c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2362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FA9A-5517-4F51-BF98-15E472189B44}">
  <sheetPr codeName="Sheet9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54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86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44194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72</v>
      </c>
      <c r="E20" s="21"/>
      <c r="F20" s="20"/>
      <c r="G20" s="20"/>
      <c r="H20" s="20"/>
      <c r="I20" s="70">
        <v>11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/>
      <c r="E21" s="21"/>
      <c r="F21" s="20"/>
      <c r="G21" s="20"/>
      <c r="H21" s="20"/>
      <c r="I21" s="70"/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/>
      <c r="E22" s="21"/>
      <c r="F22" s="20"/>
      <c r="G22" s="20"/>
      <c r="H22" s="20"/>
      <c r="I22" s="70"/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/>
      <c r="E23" s="21"/>
      <c r="F23" s="20"/>
      <c r="G23" s="20"/>
      <c r="H23" s="20"/>
      <c r="I23" s="70"/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/>
      <c r="E24" s="20"/>
      <c r="F24" s="20"/>
      <c r="G24" s="20"/>
      <c r="H24" s="20"/>
      <c r="I24" s="70"/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11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>
    <tabColor theme="4" tint="0.59999389629810485"/>
  </sheetPr>
  <dimension ref="A1:AR155"/>
  <sheetViews>
    <sheetView showGridLines="0" tabSelected="1" zoomScale="90" zoomScaleNormal="90" workbookViewId="0">
      <pane ySplit="25" topLeftCell="A26" activePane="bottomLeft" state="frozen"/>
      <selection activeCell="Q42" sqref="Q42"/>
      <selection pane="bottomLeft" activeCell="Q34" sqref="Q34"/>
    </sheetView>
  </sheetViews>
  <sheetFormatPr defaultRowHeight="14.25" customHeight="1" x14ac:dyDescent="0.25"/>
  <cols>
    <col min="1" max="1" width="43.85546875" customWidth="1"/>
    <col min="2" max="2" width="14.7109375" customWidth="1"/>
    <col min="3" max="3" width="11" hidden="1" customWidth="1"/>
    <col min="4" max="4" width="16.28515625" customWidth="1"/>
    <col min="5" max="6" width="11" hidden="1" customWidth="1"/>
    <col min="7" max="7" width="15.5703125" bestFit="1" customWidth="1"/>
    <col min="8" max="8" width="16.42578125" bestFit="1" customWidth="1"/>
    <col min="9" max="9" width="12.5703125" customWidth="1"/>
    <col min="10" max="10" width="14.85546875" bestFit="1" customWidth="1"/>
    <col min="11" max="11" width="14.85546875" customWidth="1"/>
    <col min="12" max="12" width="14.28515625" customWidth="1"/>
    <col min="13" max="13" width="11" customWidth="1"/>
    <col min="14" max="14" width="14.85546875" bestFit="1" customWidth="1"/>
    <col min="15" max="15" width="11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83" t="s">
        <v>92</v>
      </c>
      <c r="K2" s="106" t="s">
        <v>25</v>
      </c>
      <c r="L2" s="107"/>
      <c r="M2" s="107"/>
      <c r="N2" s="107"/>
      <c r="O2" s="107"/>
      <c r="P2" s="38" t="s">
        <v>36</v>
      </c>
      <c r="Q2" s="39" t="s">
        <v>37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84">
        <v>12</v>
      </c>
      <c r="K3" s="108" t="s">
        <v>20</v>
      </c>
      <c r="L3" s="109"/>
      <c r="M3" s="109"/>
      <c r="N3" s="109"/>
      <c r="O3" s="109"/>
      <c r="P3" s="71">
        <f t="shared" ref="P3:P15" si="0">SUMIF($Q$26:$Q$132,Q3,$P$26:$P$132)</f>
        <v>1757</v>
      </c>
      <c r="Q3" s="72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85">
        <v>14</v>
      </c>
      <c r="K4" s="110" t="s">
        <v>108</v>
      </c>
      <c r="L4" s="111"/>
      <c r="M4" s="111"/>
      <c r="N4" s="111"/>
      <c r="O4" s="111"/>
      <c r="P4" s="73">
        <f t="shared" si="0"/>
        <v>2444</v>
      </c>
      <c r="Q4" s="74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86">
        <v>15</v>
      </c>
      <c r="K5" s="112" t="s">
        <v>77</v>
      </c>
      <c r="L5" s="113"/>
      <c r="M5" s="113"/>
      <c r="N5" s="113"/>
      <c r="O5" s="113"/>
      <c r="P5" s="75">
        <f t="shared" si="0"/>
        <v>99</v>
      </c>
      <c r="Q5" s="76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85">
        <v>16</v>
      </c>
      <c r="K6" s="110" t="s">
        <v>78</v>
      </c>
      <c r="L6" s="111"/>
      <c r="M6" s="111"/>
      <c r="N6" s="111"/>
      <c r="O6" s="111"/>
      <c r="P6" s="73">
        <f t="shared" si="0"/>
        <v>0</v>
      </c>
      <c r="Q6" s="74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86">
        <v>17</v>
      </c>
      <c r="K7" s="112" t="s">
        <v>79</v>
      </c>
      <c r="L7" s="113"/>
      <c r="M7" s="113"/>
      <c r="N7" s="113"/>
      <c r="O7" s="113"/>
      <c r="P7" s="75">
        <f t="shared" si="0"/>
        <v>0</v>
      </c>
      <c r="Q7" s="76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85">
        <v>18</v>
      </c>
      <c r="K8" s="110" t="s">
        <v>80</v>
      </c>
      <c r="L8" s="111"/>
      <c r="M8" s="111"/>
      <c r="N8" s="111"/>
      <c r="O8" s="111"/>
      <c r="P8" s="73">
        <f t="shared" si="0"/>
        <v>0</v>
      </c>
      <c r="Q8" s="74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86">
        <v>19</v>
      </c>
      <c r="K9" s="112" t="s">
        <v>81</v>
      </c>
      <c r="L9" s="113"/>
      <c r="M9" s="113"/>
      <c r="N9" s="113"/>
      <c r="O9" s="113"/>
      <c r="P9" s="75">
        <f t="shared" si="0"/>
        <v>0</v>
      </c>
      <c r="Q9" s="76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85">
        <v>20</v>
      </c>
      <c r="K10" s="110" t="s">
        <v>82</v>
      </c>
      <c r="L10" s="111"/>
      <c r="M10" s="111"/>
      <c r="N10" s="111"/>
      <c r="O10" s="111"/>
      <c r="P10" s="73">
        <f t="shared" si="0"/>
        <v>0</v>
      </c>
      <c r="Q10" s="74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86">
        <v>21</v>
      </c>
      <c r="K11" s="112" t="s">
        <v>83</v>
      </c>
      <c r="L11" s="113"/>
      <c r="M11" s="113"/>
      <c r="N11" s="113"/>
      <c r="O11" s="113"/>
      <c r="P11" s="75">
        <f t="shared" si="0"/>
        <v>0</v>
      </c>
      <c r="Q11" s="76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85">
        <v>22</v>
      </c>
      <c r="K12" s="110" t="s">
        <v>84</v>
      </c>
      <c r="L12" s="111"/>
      <c r="M12" s="111"/>
      <c r="N12" s="111"/>
      <c r="O12" s="111"/>
      <c r="P12" s="73">
        <f t="shared" si="0"/>
        <v>0</v>
      </c>
      <c r="Q12" s="74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86">
        <v>23</v>
      </c>
      <c r="K13" s="112" t="s">
        <v>85</v>
      </c>
      <c r="L13" s="113"/>
      <c r="M13" s="113"/>
      <c r="N13" s="113"/>
      <c r="O13" s="113"/>
      <c r="P13" s="75">
        <f t="shared" si="0"/>
        <v>2362</v>
      </c>
      <c r="Q13" s="76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85">
        <v>60</v>
      </c>
      <c r="K14" s="110" t="s">
        <v>86</v>
      </c>
      <c r="L14" s="111"/>
      <c r="M14" s="111"/>
      <c r="N14" s="111"/>
      <c r="O14" s="111"/>
      <c r="P14" s="73">
        <f t="shared" si="0"/>
        <v>11</v>
      </c>
      <c r="Q14" s="74">
        <v>41</v>
      </c>
      <c r="W14" s="2"/>
    </row>
    <row r="15" spans="1:44" ht="16.5" customHeight="1" x14ac:dyDescent="0.25">
      <c r="A15" s="2"/>
      <c r="B15" s="8"/>
      <c r="C15" s="9"/>
      <c r="D15" s="7"/>
      <c r="E15" s="7"/>
      <c r="F15" s="7"/>
      <c r="G15" s="7"/>
      <c r="H15" s="7"/>
      <c r="I15" s="7"/>
      <c r="J15" s="86">
        <v>2</v>
      </c>
      <c r="K15" s="112" t="s">
        <v>87</v>
      </c>
      <c r="L15" s="113"/>
      <c r="M15" s="113"/>
      <c r="N15" s="113"/>
      <c r="O15" s="113"/>
      <c r="P15" s="75">
        <f t="shared" si="0"/>
        <v>0</v>
      </c>
      <c r="Q15" s="76">
        <v>62</v>
      </c>
      <c r="W15" s="2"/>
    </row>
    <row r="16" spans="1:44" ht="15.75" hidden="1" x14ac:dyDescent="0.25">
      <c r="A16" s="3"/>
      <c r="B16" s="8"/>
      <c r="C16" s="9"/>
      <c r="D16" s="7"/>
      <c r="E16" s="7"/>
      <c r="F16" s="7"/>
      <c r="G16" s="7"/>
      <c r="H16" s="7"/>
      <c r="I16" s="7"/>
      <c r="J16" s="86"/>
      <c r="K16" s="112"/>
      <c r="L16" s="113"/>
      <c r="M16" s="113"/>
      <c r="N16" s="113"/>
      <c r="O16" s="113"/>
      <c r="P16" s="75"/>
      <c r="Q16" s="76"/>
      <c r="W16" s="2"/>
    </row>
    <row r="17" spans="1:28" ht="15.75" hidden="1" x14ac:dyDescent="0.25">
      <c r="A17" s="3"/>
      <c r="B17" s="8"/>
      <c r="C17" s="9"/>
      <c r="D17" s="7"/>
      <c r="E17" s="7"/>
      <c r="F17" s="7"/>
      <c r="G17" s="7"/>
      <c r="H17" s="7"/>
      <c r="I17" s="7"/>
      <c r="J17" s="85"/>
      <c r="K17" s="110"/>
      <c r="L17" s="111"/>
      <c r="M17" s="111"/>
      <c r="N17" s="111"/>
      <c r="O17" s="111"/>
      <c r="P17" s="73"/>
      <c r="Q17" s="74"/>
      <c r="W17" s="2"/>
    </row>
    <row r="18" spans="1:28" ht="15.75" hidden="1" x14ac:dyDescent="0.25">
      <c r="A18" s="3"/>
      <c r="B18" s="8"/>
      <c r="C18" s="9"/>
      <c r="D18" s="7"/>
      <c r="E18" s="7"/>
      <c r="F18" s="7"/>
      <c r="G18" s="7"/>
      <c r="H18" s="7"/>
      <c r="I18" s="7"/>
      <c r="J18" s="86"/>
      <c r="K18" s="112"/>
      <c r="L18" s="113"/>
      <c r="M18" s="113"/>
      <c r="N18" s="113"/>
      <c r="O18" s="113"/>
      <c r="P18" s="75"/>
      <c r="Q18" s="76"/>
      <c r="W18" s="2"/>
    </row>
    <row r="19" spans="1:28" ht="15.75" hidden="1" x14ac:dyDescent="0.25">
      <c r="A19" s="3"/>
      <c r="B19" s="8"/>
      <c r="C19" s="9"/>
      <c r="D19" s="7"/>
      <c r="E19" s="7"/>
      <c r="F19" s="7"/>
      <c r="G19" s="7"/>
      <c r="H19" s="7"/>
      <c r="I19" s="7"/>
      <c r="J19" s="85"/>
      <c r="K19" s="110"/>
      <c r="L19" s="111"/>
      <c r="M19" s="111"/>
      <c r="N19" s="111"/>
      <c r="O19" s="111"/>
      <c r="P19" s="73"/>
      <c r="Q19" s="74"/>
      <c r="W19" s="2"/>
    </row>
    <row r="20" spans="1:28" ht="15.75" hidden="1" x14ac:dyDescent="0.25">
      <c r="A20" s="3"/>
      <c r="B20" s="8"/>
      <c r="C20" s="9"/>
      <c r="D20" s="7"/>
      <c r="E20" s="7"/>
      <c r="F20" s="7"/>
      <c r="G20" s="7"/>
      <c r="H20" s="7"/>
      <c r="I20" s="7"/>
      <c r="J20" s="86"/>
      <c r="K20" s="112"/>
      <c r="L20" s="113"/>
      <c r="M20" s="113"/>
      <c r="N20" s="113"/>
      <c r="O20" s="113"/>
      <c r="P20" s="75"/>
      <c r="Q20" s="76"/>
      <c r="W20" s="2"/>
    </row>
    <row r="21" spans="1:28" ht="16.5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87"/>
      <c r="K21" s="114"/>
      <c r="L21" s="115"/>
      <c r="M21" s="115"/>
      <c r="N21" s="115"/>
      <c r="O21" s="115"/>
      <c r="P21" s="77"/>
      <c r="Q21" s="78"/>
      <c r="W21" s="2"/>
    </row>
    <row r="22" spans="1:28" ht="16.5" thickTop="1" x14ac:dyDescent="0.25">
      <c r="A22" s="36" t="s">
        <v>1</v>
      </c>
      <c r="B22" s="37">
        <f ca="1">EOMONTH(TODAY(),0)</f>
        <v>44135</v>
      </c>
      <c r="C22" s="35"/>
      <c r="D22" s="23"/>
      <c r="E22" s="24"/>
      <c r="F22" s="23"/>
      <c r="G22" s="23"/>
      <c r="H22" s="23"/>
      <c r="I22" s="23"/>
      <c r="J22" s="23"/>
      <c r="K22" s="28"/>
      <c r="L22" s="28"/>
      <c r="M22" s="28"/>
      <c r="N22" s="28"/>
      <c r="O22" s="28"/>
      <c r="P22" s="29">
        <f>SUM(P3:P21)</f>
        <v>6673</v>
      </c>
      <c r="Q22" s="30"/>
      <c r="W22" s="2"/>
    </row>
    <row r="23" spans="1:28" ht="14.25" customHeight="1" thickBot="1" x14ac:dyDescent="0.3">
      <c r="A23" s="26"/>
      <c r="B23" s="27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4"/>
      <c r="V23" s="25"/>
      <c r="W23" s="2"/>
    </row>
    <row r="24" spans="1:28" s="12" customFormat="1" ht="14.25" customHeight="1" x14ac:dyDescent="0.2">
      <c r="A24" s="98" t="s">
        <v>23</v>
      </c>
      <c r="B24" s="100" t="s">
        <v>24</v>
      </c>
      <c r="C24" s="96" t="s">
        <v>22</v>
      </c>
      <c r="D24" s="96" t="s">
        <v>26</v>
      </c>
      <c r="E24" s="96" t="s">
        <v>27</v>
      </c>
      <c r="F24" s="96" t="s">
        <v>28</v>
      </c>
      <c r="G24" s="96" t="s">
        <v>29</v>
      </c>
      <c r="H24" s="96" t="s">
        <v>30</v>
      </c>
      <c r="I24" s="96" t="s">
        <v>31</v>
      </c>
      <c r="J24" s="96" t="s">
        <v>8</v>
      </c>
      <c r="K24" s="96" t="s">
        <v>39</v>
      </c>
      <c r="L24" s="96" t="s">
        <v>32</v>
      </c>
      <c r="M24" s="96" t="s">
        <v>33</v>
      </c>
      <c r="N24" s="96" t="s">
        <v>34</v>
      </c>
      <c r="O24" s="96" t="s">
        <v>38</v>
      </c>
      <c r="P24" s="102" t="s">
        <v>35</v>
      </c>
      <c r="Q24" s="104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99"/>
      <c r="B25" s="101"/>
      <c r="C25" s="97"/>
      <c r="D25" s="97" t="s">
        <v>2</v>
      </c>
      <c r="E25" s="97" t="s">
        <v>3</v>
      </c>
      <c r="F25" s="97" t="s">
        <v>4</v>
      </c>
      <c r="G25" s="97" t="s">
        <v>5</v>
      </c>
      <c r="H25" s="97" t="s">
        <v>6</v>
      </c>
      <c r="I25" s="97" t="s">
        <v>7</v>
      </c>
      <c r="J25" s="97" t="s">
        <v>8</v>
      </c>
      <c r="K25" s="97" t="s">
        <v>9</v>
      </c>
      <c r="L25" s="97" t="s">
        <v>10</v>
      </c>
      <c r="M25" s="97" t="s">
        <v>11</v>
      </c>
      <c r="N25" s="97" t="s">
        <v>12</v>
      </c>
      <c r="O25" s="97" t="s">
        <v>12</v>
      </c>
      <c r="P25" s="103"/>
      <c r="Q25" s="105"/>
      <c r="R25" s="13"/>
      <c r="S25" s="13"/>
      <c r="T25" s="13"/>
      <c r="U25" s="13"/>
      <c r="V25" s="13"/>
      <c r="W25" s="13"/>
    </row>
    <row r="26" spans="1:28" ht="14.25" customHeight="1" x14ac:dyDescent="0.25">
      <c r="A26" s="40" t="s">
        <v>58</v>
      </c>
      <c r="B26" s="41">
        <v>100</v>
      </c>
      <c r="C26" s="42"/>
      <c r="D26" s="43">
        <v>100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>
        <f t="shared" ref="P26:P57" si="1">IF(SUM(C26:O26)&lt;&gt;B26,"ERROR",IF(COUNT(C26:O26)&gt;1,"COUNT",SUM(C26:O26)))</f>
        <v>100</v>
      </c>
      <c r="Q26" s="45">
        <v>20</v>
      </c>
      <c r="W26" s="2"/>
      <c r="X26"/>
      <c r="Y26"/>
      <c r="Z26"/>
      <c r="AA26"/>
      <c r="AB26"/>
    </row>
    <row r="27" spans="1:28" ht="14.25" customHeight="1" x14ac:dyDescent="0.25">
      <c r="A27" s="46" t="s">
        <v>59</v>
      </c>
      <c r="B27" s="47">
        <v>2</v>
      </c>
      <c r="C27" s="48"/>
      <c r="D27" s="48">
        <v>2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9">
        <f t="shared" si="1"/>
        <v>2</v>
      </c>
      <c r="Q27" s="50">
        <v>20</v>
      </c>
      <c r="W27" s="2"/>
      <c r="X27"/>
      <c r="Y27"/>
      <c r="Z27"/>
      <c r="AA27"/>
      <c r="AB27"/>
    </row>
    <row r="28" spans="1:28" ht="14.25" customHeight="1" x14ac:dyDescent="0.25">
      <c r="A28" s="51" t="s">
        <v>60</v>
      </c>
      <c r="B28" s="52">
        <v>1545</v>
      </c>
      <c r="C28" s="53"/>
      <c r="D28" s="53">
        <v>1545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 t="shared" si="1"/>
        <v>1545</v>
      </c>
      <c r="Q28" s="58">
        <v>20</v>
      </c>
      <c r="W28" s="2"/>
      <c r="X28"/>
      <c r="Y28"/>
      <c r="Z28"/>
      <c r="AA28"/>
      <c r="AB28"/>
    </row>
    <row r="29" spans="1:28" ht="14.25" customHeight="1" x14ac:dyDescent="0.25">
      <c r="A29" s="46" t="s">
        <v>61</v>
      </c>
      <c r="B29" s="47">
        <v>66</v>
      </c>
      <c r="C29" s="48"/>
      <c r="D29" s="48">
        <v>66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9">
        <f t="shared" si="1"/>
        <v>66</v>
      </c>
      <c r="Q29" s="50">
        <v>20</v>
      </c>
      <c r="W29" s="2"/>
      <c r="X29"/>
      <c r="Y29"/>
      <c r="Z29"/>
      <c r="AA29"/>
      <c r="AB29"/>
    </row>
    <row r="30" spans="1:28" ht="14.25" customHeight="1" x14ac:dyDescent="0.25">
      <c r="A30" s="51" t="s">
        <v>62</v>
      </c>
      <c r="B30" s="52">
        <v>22</v>
      </c>
      <c r="C30" s="53"/>
      <c r="D30" s="53"/>
      <c r="E30" s="53"/>
      <c r="F30" s="53"/>
      <c r="G30" s="53"/>
      <c r="H30" s="53">
        <v>22</v>
      </c>
      <c r="I30" s="53"/>
      <c r="J30" s="53"/>
      <c r="K30" s="53"/>
      <c r="L30" s="53"/>
      <c r="M30" s="53"/>
      <c r="N30" s="53"/>
      <c r="O30" s="53"/>
      <c r="P30" s="54">
        <f t="shared" si="1"/>
        <v>22</v>
      </c>
      <c r="Q30" s="58">
        <v>20</v>
      </c>
      <c r="W30" s="2"/>
      <c r="X30"/>
      <c r="Y30"/>
      <c r="Z30"/>
      <c r="AA30"/>
      <c r="AB30"/>
    </row>
    <row r="31" spans="1:28" ht="14.25" customHeight="1" x14ac:dyDescent="0.25">
      <c r="A31" s="46" t="s">
        <v>63</v>
      </c>
      <c r="B31" s="47">
        <v>11</v>
      </c>
      <c r="C31" s="48"/>
      <c r="D31" s="48">
        <v>11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9">
        <f t="shared" si="1"/>
        <v>11</v>
      </c>
      <c r="Q31" s="50">
        <v>20</v>
      </c>
      <c r="W31" s="2"/>
      <c r="X31"/>
      <c r="Y31"/>
      <c r="Z31"/>
      <c r="AA31"/>
      <c r="AB31"/>
    </row>
    <row r="32" spans="1:28" ht="14.25" customHeight="1" x14ac:dyDescent="0.25">
      <c r="A32" s="51" t="s">
        <v>64</v>
      </c>
      <c r="B32" s="52">
        <v>11</v>
      </c>
      <c r="C32" s="53"/>
      <c r="D32" s="53"/>
      <c r="E32" s="53"/>
      <c r="F32" s="53"/>
      <c r="G32" s="53"/>
      <c r="H32" s="53"/>
      <c r="I32" s="53"/>
      <c r="J32" s="53">
        <v>11</v>
      </c>
      <c r="K32" s="53"/>
      <c r="L32" s="53"/>
      <c r="M32" s="53"/>
      <c r="N32" s="53"/>
      <c r="O32" s="53"/>
      <c r="P32" s="54">
        <f t="shared" si="1"/>
        <v>11</v>
      </c>
      <c r="Q32" s="58">
        <v>20</v>
      </c>
      <c r="W32" s="2"/>
      <c r="X32"/>
      <c r="Y32"/>
      <c r="Z32"/>
      <c r="AA32"/>
      <c r="AB32"/>
    </row>
    <row r="33" spans="1:28" ht="14.25" customHeight="1" x14ac:dyDescent="0.25">
      <c r="A33" s="46" t="s">
        <v>65</v>
      </c>
      <c r="B33" s="47">
        <v>11</v>
      </c>
      <c r="C33" s="48"/>
      <c r="D33" s="48"/>
      <c r="E33" s="48"/>
      <c r="F33" s="48"/>
      <c r="G33" s="48"/>
      <c r="H33" s="48">
        <v>11</v>
      </c>
      <c r="I33" s="48"/>
      <c r="J33" s="48"/>
      <c r="K33" s="48"/>
      <c r="L33" s="48"/>
      <c r="M33" s="48"/>
      <c r="N33" s="48"/>
      <c r="O33" s="48"/>
      <c r="P33" s="49">
        <f t="shared" si="1"/>
        <v>11</v>
      </c>
      <c r="Q33" s="50">
        <v>71</v>
      </c>
      <c r="W33" s="2"/>
      <c r="X33"/>
      <c r="Y33"/>
      <c r="Z33"/>
      <c r="AA33"/>
      <c r="AB33"/>
    </row>
    <row r="34" spans="1:28" ht="14.25" customHeight="1" x14ac:dyDescent="0.25">
      <c r="A34" s="51" t="s">
        <v>66</v>
      </c>
      <c r="B34" s="55">
        <v>11</v>
      </c>
      <c r="C34" s="56"/>
      <c r="D34" s="56"/>
      <c r="E34" s="56"/>
      <c r="F34" s="56"/>
      <c r="G34" s="56">
        <v>11</v>
      </c>
      <c r="H34" s="56"/>
      <c r="I34" s="56"/>
      <c r="J34" s="56"/>
      <c r="K34" s="56"/>
      <c r="L34" s="56"/>
      <c r="M34" s="56"/>
      <c r="N34" s="56"/>
      <c r="O34" s="56"/>
      <c r="P34" s="57">
        <f t="shared" si="1"/>
        <v>11</v>
      </c>
      <c r="Q34" s="58">
        <v>71</v>
      </c>
      <c r="W34" s="2"/>
      <c r="X34"/>
      <c r="Y34"/>
      <c r="Z34"/>
      <c r="AA34"/>
      <c r="AB34"/>
    </row>
    <row r="35" spans="1:28" ht="14.25" customHeight="1" x14ac:dyDescent="0.25">
      <c r="A35" s="46" t="s">
        <v>67</v>
      </c>
      <c r="B35" s="47">
        <v>11</v>
      </c>
      <c r="C35" s="48"/>
      <c r="D35" s="48"/>
      <c r="E35" s="48"/>
      <c r="F35" s="48"/>
      <c r="G35" s="48"/>
      <c r="H35" s="48"/>
      <c r="I35" s="48"/>
      <c r="J35" s="48">
        <v>11</v>
      </c>
      <c r="K35" s="48"/>
      <c r="L35" s="48"/>
      <c r="M35" s="48"/>
      <c r="N35" s="48"/>
      <c r="O35" s="48"/>
      <c r="P35" s="49">
        <f t="shared" si="1"/>
        <v>11</v>
      </c>
      <c r="Q35" s="50">
        <v>71</v>
      </c>
      <c r="W35" s="2"/>
      <c r="X35"/>
      <c r="Y35"/>
      <c r="Z35"/>
      <c r="AA35"/>
      <c r="AB35"/>
    </row>
    <row r="36" spans="1:28" ht="14.25" customHeight="1" x14ac:dyDescent="0.25">
      <c r="A36" s="51" t="s">
        <v>68</v>
      </c>
      <c r="B36" s="55">
        <v>11</v>
      </c>
      <c r="C36" s="56"/>
      <c r="D36" s="56"/>
      <c r="E36" s="56"/>
      <c r="F36" s="56"/>
      <c r="G36" s="56"/>
      <c r="H36" s="56">
        <v>11</v>
      </c>
      <c r="I36" s="56"/>
      <c r="J36" s="56"/>
      <c r="K36" s="56"/>
      <c r="L36" s="56"/>
      <c r="M36" s="56"/>
      <c r="N36" s="56"/>
      <c r="O36" s="56"/>
      <c r="P36" s="57">
        <f t="shared" si="1"/>
        <v>11</v>
      </c>
      <c r="Q36" s="58">
        <v>71</v>
      </c>
      <c r="W36" s="2"/>
      <c r="X36"/>
      <c r="Y36"/>
      <c r="Z36"/>
      <c r="AA36"/>
      <c r="AB36"/>
    </row>
    <row r="37" spans="1:28" ht="14.25" customHeight="1" x14ac:dyDescent="0.25">
      <c r="A37" s="46" t="s">
        <v>69</v>
      </c>
      <c r="B37" s="47">
        <v>11</v>
      </c>
      <c r="C37" s="48"/>
      <c r="D37" s="48"/>
      <c r="E37" s="48"/>
      <c r="F37" s="48"/>
      <c r="G37" s="48"/>
      <c r="H37" s="48"/>
      <c r="I37" s="48"/>
      <c r="J37" s="48">
        <v>11</v>
      </c>
      <c r="K37" s="48"/>
      <c r="L37" s="48"/>
      <c r="M37" s="48"/>
      <c r="N37" s="48"/>
      <c r="O37" s="48"/>
      <c r="P37" s="49">
        <f t="shared" si="1"/>
        <v>11</v>
      </c>
      <c r="Q37" s="50">
        <v>71</v>
      </c>
      <c r="W37" s="2"/>
      <c r="X37"/>
      <c r="Y37"/>
      <c r="Z37"/>
      <c r="AA37"/>
      <c r="AB37"/>
    </row>
    <row r="38" spans="1:28" ht="14.25" customHeight="1" x14ac:dyDescent="0.25">
      <c r="A38" s="51" t="s">
        <v>70</v>
      </c>
      <c r="B38" s="55">
        <v>11</v>
      </c>
      <c r="C38" s="56"/>
      <c r="D38" s="56"/>
      <c r="E38" s="56"/>
      <c r="F38" s="56"/>
      <c r="G38" s="56"/>
      <c r="H38" s="56"/>
      <c r="I38" s="56"/>
      <c r="J38" s="56">
        <v>11</v>
      </c>
      <c r="K38" s="56"/>
      <c r="L38" s="56"/>
      <c r="M38" s="56"/>
      <c r="N38" s="56"/>
      <c r="O38" s="56"/>
      <c r="P38" s="57">
        <f t="shared" si="1"/>
        <v>11</v>
      </c>
      <c r="Q38" s="58">
        <v>71</v>
      </c>
      <c r="W38" s="2"/>
      <c r="X38"/>
      <c r="Y38"/>
      <c r="Z38"/>
      <c r="AA38"/>
      <c r="AB38"/>
    </row>
    <row r="39" spans="1:28" ht="14.25" customHeight="1" x14ac:dyDescent="0.25">
      <c r="A39" s="46" t="s">
        <v>71</v>
      </c>
      <c r="B39" s="47">
        <v>11</v>
      </c>
      <c r="C39" s="48"/>
      <c r="D39" s="48"/>
      <c r="E39" s="48"/>
      <c r="F39" s="48"/>
      <c r="G39" s="48"/>
      <c r="H39" s="48"/>
      <c r="I39" s="48"/>
      <c r="J39" s="48">
        <v>11</v>
      </c>
      <c r="K39" s="48"/>
      <c r="L39" s="48"/>
      <c r="M39" s="48"/>
      <c r="N39" s="48"/>
      <c r="O39" s="48"/>
      <c r="P39" s="49">
        <f t="shared" si="1"/>
        <v>11</v>
      </c>
      <c r="Q39" s="50">
        <v>71</v>
      </c>
      <c r="W39" s="2"/>
      <c r="X39"/>
      <c r="Y39"/>
      <c r="Z39"/>
      <c r="AA39"/>
      <c r="AB39"/>
    </row>
    <row r="40" spans="1:28" ht="14.25" customHeight="1" x14ac:dyDescent="0.25">
      <c r="A40" s="51" t="s">
        <v>72</v>
      </c>
      <c r="B40" s="55">
        <v>11</v>
      </c>
      <c r="C40" s="56"/>
      <c r="D40" s="56"/>
      <c r="E40" s="56"/>
      <c r="F40" s="56"/>
      <c r="G40" s="56"/>
      <c r="H40" s="56"/>
      <c r="I40" s="56"/>
      <c r="J40" s="56">
        <v>11</v>
      </c>
      <c r="K40" s="56"/>
      <c r="L40" s="56"/>
      <c r="M40" s="56"/>
      <c r="N40" s="56"/>
      <c r="O40" s="56"/>
      <c r="P40" s="57">
        <f t="shared" si="1"/>
        <v>11</v>
      </c>
      <c r="Q40" s="58">
        <v>41</v>
      </c>
      <c r="W40" s="2"/>
      <c r="X40"/>
      <c r="Y40"/>
      <c r="Z40"/>
      <c r="AA40"/>
      <c r="AB40"/>
    </row>
    <row r="41" spans="1:28" ht="14.25" customHeight="1" x14ac:dyDescent="0.25">
      <c r="A41" s="46" t="s">
        <v>73</v>
      </c>
      <c r="B41" s="47">
        <v>11</v>
      </c>
      <c r="C41" s="48"/>
      <c r="D41" s="48"/>
      <c r="E41" s="48"/>
      <c r="F41" s="48"/>
      <c r="G41" s="48"/>
      <c r="H41" s="48"/>
      <c r="I41" s="48"/>
      <c r="J41" s="48">
        <v>11</v>
      </c>
      <c r="K41" s="48"/>
      <c r="L41" s="48"/>
      <c r="M41" s="48"/>
      <c r="N41" s="48"/>
      <c r="O41" s="48"/>
      <c r="P41" s="49">
        <f t="shared" si="1"/>
        <v>11</v>
      </c>
      <c r="Q41" s="50">
        <v>71</v>
      </c>
      <c r="W41" s="2"/>
      <c r="X41"/>
      <c r="Y41"/>
      <c r="Z41"/>
      <c r="AA41"/>
      <c r="AB41"/>
    </row>
    <row r="42" spans="1:28" ht="14.25" customHeight="1" x14ac:dyDescent="0.25">
      <c r="A42" s="51" t="s">
        <v>74</v>
      </c>
      <c r="B42" s="55">
        <v>11</v>
      </c>
      <c r="C42" s="56"/>
      <c r="D42" s="56"/>
      <c r="E42" s="56"/>
      <c r="F42" s="56"/>
      <c r="G42" s="56"/>
      <c r="H42" s="56"/>
      <c r="I42" s="56"/>
      <c r="J42" s="56">
        <v>11</v>
      </c>
      <c r="K42" s="56"/>
      <c r="L42" s="56"/>
      <c r="M42" s="56"/>
      <c r="N42" s="56"/>
      <c r="O42" s="56"/>
      <c r="P42" s="57">
        <f t="shared" si="1"/>
        <v>11</v>
      </c>
      <c r="Q42" s="58">
        <v>71</v>
      </c>
      <c r="W42" s="2"/>
      <c r="X42"/>
      <c r="Y42"/>
      <c r="Z42"/>
      <c r="AA42"/>
      <c r="AB42"/>
    </row>
    <row r="43" spans="1:28" ht="14.25" customHeight="1" x14ac:dyDescent="0.25">
      <c r="A43" s="46" t="s">
        <v>75</v>
      </c>
      <c r="B43" s="47">
        <v>2</v>
      </c>
      <c r="C43" s="48"/>
      <c r="D43" s="48"/>
      <c r="E43" s="48"/>
      <c r="F43" s="48"/>
      <c r="G43" s="48"/>
      <c r="H43" s="48"/>
      <c r="I43" s="48"/>
      <c r="J43" s="48">
        <v>2</v>
      </c>
      <c r="K43" s="48"/>
      <c r="L43" s="48"/>
      <c r="M43" s="48"/>
      <c r="N43" s="48"/>
      <c r="O43" s="48"/>
      <c r="P43" s="49">
        <f t="shared" si="1"/>
        <v>2</v>
      </c>
      <c r="Q43" s="50">
        <v>34</v>
      </c>
      <c r="W43" s="2"/>
      <c r="X43"/>
      <c r="Y43"/>
      <c r="Z43"/>
      <c r="AA43"/>
      <c r="AB43"/>
    </row>
    <row r="44" spans="1:28" ht="14.25" customHeight="1" x14ac:dyDescent="0.25">
      <c r="A44" s="51" t="s">
        <v>75</v>
      </c>
      <c r="B44" s="55">
        <v>5</v>
      </c>
      <c r="C44" s="56"/>
      <c r="D44" s="56"/>
      <c r="E44" s="56"/>
      <c r="F44" s="56"/>
      <c r="G44" s="56"/>
      <c r="H44" s="56"/>
      <c r="I44" s="56"/>
      <c r="J44" s="56">
        <v>5</v>
      </c>
      <c r="K44" s="56"/>
      <c r="L44" s="56"/>
      <c r="M44" s="56"/>
      <c r="N44" s="56"/>
      <c r="O44" s="56"/>
      <c r="P44" s="57">
        <f t="shared" si="1"/>
        <v>5</v>
      </c>
      <c r="Q44" s="58">
        <v>34</v>
      </c>
      <c r="W44" s="2"/>
      <c r="X44"/>
      <c r="Y44"/>
      <c r="Z44"/>
      <c r="AA44"/>
      <c r="AB44"/>
    </row>
    <row r="45" spans="1:28" ht="14.25" customHeight="1" x14ac:dyDescent="0.25">
      <c r="A45" s="46" t="s">
        <v>75</v>
      </c>
      <c r="B45" s="47">
        <v>22</v>
      </c>
      <c r="C45" s="48"/>
      <c r="D45" s="48"/>
      <c r="E45" s="48"/>
      <c r="F45" s="48"/>
      <c r="G45" s="48"/>
      <c r="H45" s="48"/>
      <c r="I45" s="48"/>
      <c r="J45" s="48">
        <v>22</v>
      </c>
      <c r="K45" s="48"/>
      <c r="L45" s="48"/>
      <c r="M45" s="48"/>
      <c r="N45" s="48"/>
      <c r="O45" s="48"/>
      <c r="P45" s="49">
        <f t="shared" si="1"/>
        <v>22</v>
      </c>
      <c r="Q45" s="50">
        <v>34</v>
      </c>
      <c r="W45" s="2"/>
      <c r="X45"/>
      <c r="Y45"/>
      <c r="Z45"/>
      <c r="AA45"/>
      <c r="AB45"/>
    </row>
    <row r="46" spans="1:28" ht="14.25" customHeight="1" x14ac:dyDescent="0.25">
      <c r="A46" s="51" t="s">
        <v>75</v>
      </c>
      <c r="B46" s="55">
        <v>111</v>
      </c>
      <c r="C46" s="59"/>
      <c r="D46" s="56"/>
      <c r="E46" s="56"/>
      <c r="F46" s="56"/>
      <c r="G46" s="56"/>
      <c r="H46" s="56"/>
      <c r="I46" s="56"/>
      <c r="J46" s="56">
        <v>111</v>
      </c>
      <c r="K46" s="56"/>
      <c r="L46" s="56"/>
      <c r="M46" s="56"/>
      <c r="N46" s="56"/>
      <c r="O46" s="56"/>
      <c r="P46" s="57">
        <f t="shared" si="1"/>
        <v>111</v>
      </c>
      <c r="Q46" s="58">
        <v>34</v>
      </c>
      <c r="W46" s="2"/>
      <c r="X46"/>
      <c r="Y46"/>
      <c r="Z46"/>
      <c r="AA46"/>
      <c r="AB46"/>
    </row>
    <row r="47" spans="1:28" ht="14.25" customHeight="1" x14ac:dyDescent="0.25">
      <c r="A47" s="46" t="s">
        <v>76</v>
      </c>
      <c r="B47" s="47">
        <v>2222</v>
      </c>
      <c r="C47" s="48"/>
      <c r="D47" s="48"/>
      <c r="E47" s="48"/>
      <c r="F47" s="48"/>
      <c r="G47" s="48"/>
      <c r="H47" s="48"/>
      <c r="I47" s="48"/>
      <c r="J47" s="48">
        <v>2222</v>
      </c>
      <c r="K47" s="48"/>
      <c r="L47" s="48"/>
      <c r="M47" s="48"/>
      <c r="N47" s="48"/>
      <c r="O47" s="48"/>
      <c r="P47" s="49">
        <f t="shared" si="1"/>
        <v>2222</v>
      </c>
      <c r="Q47" s="50">
        <v>34</v>
      </c>
      <c r="W47" s="2"/>
      <c r="X47"/>
      <c r="Y47"/>
      <c r="Z47"/>
      <c r="AA47"/>
      <c r="AB47"/>
    </row>
    <row r="48" spans="1:28" ht="14.25" customHeight="1" x14ac:dyDescent="0.25">
      <c r="A48" s="51" t="s">
        <v>76</v>
      </c>
      <c r="B48" s="55">
        <v>222</v>
      </c>
      <c r="C48" s="59"/>
      <c r="D48" s="56"/>
      <c r="E48" s="56"/>
      <c r="F48" s="56"/>
      <c r="G48" s="56"/>
      <c r="H48" s="56"/>
      <c r="I48" s="56"/>
      <c r="J48" s="56">
        <v>222</v>
      </c>
      <c r="K48" s="56"/>
      <c r="L48" s="56"/>
      <c r="M48" s="56"/>
      <c r="N48" s="56"/>
      <c r="O48" s="56"/>
      <c r="P48" s="57">
        <f t="shared" si="1"/>
        <v>222</v>
      </c>
      <c r="Q48" s="58">
        <v>25</v>
      </c>
      <c r="W48" s="2"/>
      <c r="X48"/>
      <c r="Y48"/>
      <c r="Z48"/>
      <c r="AA48"/>
      <c r="AB48"/>
    </row>
    <row r="49" spans="1:28" ht="14.25" customHeight="1" x14ac:dyDescent="0.25">
      <c r="A49" s="46" t="s">
        <v>76</v>
      </c>
      <c r="B49" s="47">
        <v>2222</v>
      </c>
      <c r="C49" s="48"/>
      <c r="D49" s="48"/>
      <c r="E49" s="48"/>
      <c r="F49" s="48"/>
      <c r="G49" s="48"/>
      <c r="H49" s="48"/>
      <c r="I49" s="48"/>
      <c r="J49" s="48">
        <v>2222</v>
      </c>
      <c r="K49" s="48"/>
      <c r="L49" s="48"/>
      <c r="M49" s="48"/>
      <c r="N49" s="48"/>
      <c r="O49" s="48"/>
      <c r="P49" s="49">
        <f t="shared" si="1"/>
        <v>2222</v>
      </c>
      <c r="Q49" s="50">
        <v>25</v>
      </c>
      <c r="W49" s="2"/>
      <c r="X49"/>
      <c r="Y49"/>
      <c r="Z49"/>
      <c r="AA49"/>
      <c r="AB49"/>
    </row>
    <row r="50" spans="1:28" ht="14.25" hidden="1" customHeight="1" x14ac:dyDescent="0.25">
      <c r="A50" s="51"/>
      <c r="B50" s="55"/>
      <c r="C50" s="59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7">
        <f t="shared" si="1"/>
        <v>0</v>
      </c>
      <c r="Q50" s="58">
        <f t="shared" ref="Q50:Q51" si="2">IF(J50="",25,"Input")</f>
        <v>25</v>
      </c>
      <c r="W50" s="2"/>
      <c r="X50"/>
      <c r="Y50"/>
      <c r="Z50"/>
      <c r="AA50"/>
      <c r="AB50"/>
    </row>
    <row r="51" spans="1:28" ht="14.25" hidden="1" customHeight="1" x14ac:dyDescent="0.25">
      <c r="A51" s="46"/>
      <c r="B51" s="47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9">
        <f t="shared" si="1"/>
        <v>0</v>
      </c>
      <c r="Q51" s="50">
        <f t="shared" si="2"/>
        <v>25</v>
      </c>
      <c r="W51" s="2"/>
      <c r="X51"/>
      <c r="Y51"/>
      <c r="Z51"/>
      <c r="AA51"/>
      <c r="AB51"/>
    </row>
    <row r="52" spans="1:28" ht="14.25" hidden="1" customHeight="1" x14ac:dyDescent="0.25">
      <c r="A52" s="51"/>
      <c r="B52" s="55"/>
      <c r="C52" s="59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7">
        <f t="shared" si="1"/>
        <v>0</v>
      </c>
      <c r="Q52" s="58">
        <f t="shared" ref="Q52:Q81" si="3">IF(J52="",25,"Input")</f>
        <v>25</v>
      </c>
      <c r="W52" s="2"/>
      <c r="X52"/>
      <c r="Y52"/>
      <c r="Z52"/>
      <c r="AA52"/>
      <c r="AB52"/>
    </row>
    <row r="53" spans="1:28" ht="14.25" hidden="1" customHeight="1" x14ac:dyDescent="0.25">
      <c r="A53" s="46"/>
      <c r="B53" s="47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9">
        <f t="shared" si="1"/>
        <v>0</v>
      </c>
      <c r="Q53" s="50">
        <f t="shared" si="3"/>
        <v>25</v>
      </c>
      <c r="W53" s="2"/>
      <c r="X53"/>
      <c r="Y53"/>
      <c r="Z53"/>
      <c r="AA53"/>
      <c r="AB53"/>
    </row>
    <row r="54" spans="1:28" ht="14.25" hidden="1" customHeight="1" x14ac:dyDescent="0.25">
      <c r="A54" s="51"/>
      <c r="B54" s="5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7">
        <f t="shared" si="1"/>
        <v>0</v>
      </c>
      <c r="Q54" s="58">
        <f t="shared" si="3"/>
        <v>25</v>
      </c>
      <c r="W54" s="2"/>
      <c r="X54"/>
      <c r="Y54"/>
      <c r="Z54"/>
      <c r="AA54"/>
      <c r="AB54"/>
    </row>
    <row r="55" spans="1:28" ht="14.25" hidden="1" customHeight="1" x14ac:dyDescent="0.25">
      <c r="A55" s="46"/>
      <c r="B55" s="47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9">
        <f t="shared" si="1"/>
        <v>0</v>
      </c>
      <c r="Q55" s="50">
        <f t="shared" si="3"/>
        <v>25</v>
      </c>
      <c r="W55" s="2"/>
      <c r="X55"/>
      <c r="Y55"/>
      <c r="Z55"/>
      <c r="AA55"/>
      <c r="AB55"/>
    </row>
    <row r="56" spans="1:28" ht="14.25" hidden="1" customHeight="1" x14ac:dyDescent="0.25">
      <c r="A56" s="51"/>
      <c r="B56" s="55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7">
        <f t="shared" si="1"/>
        <v>0</v>
      </c>
      <c r="Q56" s="58">
        <f t="shared" si="3"/>
        <v>25</v>
      </c>
      <c r="W56" s="2"/>
      <c r="X56"/>
      <c r="Y56"/>
      <c r="Z56"/>
      <c r="AA56"/>
      <c r="AB56"/>
    </row>
    <row r="57" spans="1:28" ht="14.25" hidden="1" customHeight="1" x14ac:dyDescent="0.25">
      <c r="A57" s="46"/>
      <c r="B57" s="47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9">
        <f t="shared" si="1"/>
        <v>0</v>
      </c>
      <c r="Q57" s="50">
        <f t="shared" si="3"/>
        <v>25</v>
      </c>
      <c r="W57" s="2"/>
      <c r="X57"/>
      <c r="Y57"/>
      <c r="Z57"/>
      <c r="AA57"/>
      <c r="AB57"/>
    </row>
    <row r="58" spans="1:28" ht="14.25" hidden="1" customHeight="1" x14ac:dyDescent="0.25">
      <c r="A58" s="51"/>
      <c r="B58" s="5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7">
        <f t="shared" ref="P58:P89" si="4">IF(SUM(C58:O58)&lt;&gt;B58,"ERROR",IF(COUNT(C58:O58)&gt;1,"COUNT",SUM(C58:O58)))</f>
        <v>0</v>
      </c>
      <c r="Q58" s="58">
        <f t="shared" si="3"/>
        <v>25</v>
      </c>
      <c r="W58" s="2"/>
      <c r="X58"/>
      <c r="Y58"/>
      <c r="Z58"/>
      <c r="AA58"/>
      <c r="AB58"/>
    </row>
    <row r="59" spans="1:28" ht="14.25" hidden="1" customHeight="1" x14ac:dyDescent="0.25">
      <c r="A59" s="46"/>
      <c r="B59" s="47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9">
        <f t="shared" si="4"/>
        <v>0</v>
      </c>
      <c r="Q59" s="50">
        <f t="shared" si="3"/>
        <v>25</v>
      </c>
      <c r="W59" s="2"/>
      <c r="X59"/>
      <c r="Y59"/>
      <c r="Z59"/>
      <c r="AA59"/>
      <c r="AB59"/>
    </row>
    <row r="60" spans="1:28" ht="14.25" hidden="1" customHeight="1" x14ac:dyDescent="0.25">
      <c r="A60" s="51"/>
      <c r="B60" s="5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7">
        <f t="shared" si="4"/>
        <v>0</v>
      </c>
      <c r="Q60" s="58">
        <f t="shared" si="3"/>
        <v>25</v>
      </c>
      <c r="W60" s="2"/>
      <c r="X60"/>
      <c r="Y60"/>
      <c r="Z60"/>
      <c r="AA60"/>
      <c r="AB60"/>
    </row>
    <row r="61" spans="1:28" ht="14.25" hidden="1" customHeight="1" x14ac:dyDescent="0.25">
      <c r="A61" s="46"/>
      <c r="B61" s="47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9">
        <f t="shared" si="4"/>
        <v>0</v>
      </c>
      <c r="Q61" s="50">
        <f t="shared" si="3"/>
        <v>25</v>
      </c>
      <c r="W61" s="2"/>
      <c r="X61"/>
      <c r="Y61"/>
      <c r="Z61"/>
      <c r="AA61"/>
      <c r="AB61"/>
    </row>
    <row r="62" spans="1:28" ht="14.25" hidden="1" customHeight="1" x14ac:dyDescent="0.25">
      <c r="A62" s="51"/>
      <c r="B62" s="5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7">
        <f t="shared" si="4"/>
        <v>0</v>
      </c>
      <c r="Q62" s="58">
        <f t="shared" si="3"/>
        <v>25</v>
      </c>
      <c r="W62" s="2"/>
      <c r="X62"/>
      <c r="Y62"/>
      <c r="Z62"/>
      <c r="AA62"/>
      <c r="AB62"/>
    </row>
    <row r="63" spans="1:28" ht="14.25" hidden="1" customHeight="1" x14ac:dyDescent="0.25">
      <c r="A63" s="46"/>
      <c r="B63" s="47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9">
        <f t="shared" si="4"/>
        <v>0</v>
      </c>
      <c r="Q63" s="50">
        <f t="shared" si="3"/>
        <v>25</v>
      </c>
      <c r="W63" s="2"/>
      <c r="X63"/>
      <c r="Y63"/>
      <c r="Z63"/>
      <c r="AA63"/>
      <c r="AB63"/>
    </row>
    <row r="64" spans="1:28" ht="14.25" hidden="1" customHeight="1" x14ac:dyDescent="0.25">
      <c r="A64" s="51"/>
      <c r="B64" s="5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7">
        <f t="shared" si="4"/>
        <v>0</v>
      </c>
      <c r="Q64" s="58">
        <f t="shared" si="3"/>
        <v>25</v>
      </c>
      <c r="W64" s="2"/>
      <c r="X64"/>
      <c r="Y64"/>
      <c r="Z64"/>
      <c r="AA64"/>
      <c r="AB64"/>
    </row>
    <row r="65" spans="1:28" ht="14.25" hidden="1" customHeight="1" x14ac:dyDescent="0.25">
      <c r="A65" s="46"/>
      <c r="B65" s="47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9">
        <f t="shared" si="4"/>
        <v>0</v>
      </c>
      <c r="Q65" s="50">
        <f t="shared" si="3"/>
        <v>25</v>
      </c>
      <c r="W65" s="2"/>
      <c r="X65"/>
      <c r="Y65"/>
      <c r="Z65"/>
      <c r="AA65"/>
      <c r="AB65"/>
    </row>
    <row r="66" spans="1:28" ht="14.25" hidden="1" customHeight="1" x14ac:dyDescent="0.25">
      <c r="A66" s="51"/>
      <c r="B66" s="5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7">
        <f t="shared" si="4"/>
        <v>0</v>
      </c>
      <c r="Q66" s="58">
        <f t="shared" si="3"/>
        <v>25</v>
      </c>
      <c r="W66" s="2"/>
      <c r="X66"/>
      <c r="Y66"/>
      <c r="Z66"/>
      <c r="AA66"/>
      <c r="AB66"/>
    </row>
    <row r="67" spans="1:28" ht="14.25" hidden="1" customHeight="1" x14ac:dyDescent="0.25">
      <c r="A67" s="46"/>
      <c r="B67" s="47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9">
        <f t="shared" si="4"/>
        <v>0</v>
      </c>
      <c r="Q67" s="50">
        <f t="shared" si="3"/>
        <v>25</v>
      </c>
      <c r="W67" s="2"/>
      <c r="X67"/>
      <c r="Y67"/>
      <c r="Z67"/>
      <c r="AA67"/>
      <c r="AB67"/>
    </row>
    <row r="68" spans="1:28" ht="14.25" hidden="1" customHeight="1" x14ac:dyDescent="0.25">
      <c r="A68" s="51"/>
      <c r="B68" s="5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7">
        <f t="shared" si="4"/>
        <v>0</v>
      </c>
      <c r="Q68" s="58">
        <f t="shared" si="3"/>
        <v>25</v>
      </c>
      <c r="W68" s="2"/>
      <c r="X68"/>
      <c r="Y68"/>
      <c r="Z68"/>
      <c r="AA68"/>
      <c r="AB68"/>
    </row>
    <row r="69" spans="1:28" ht="14.25" hidden="1" customHeight="1" x14ac:dyDescent="0.25">
      <c r="A69" s="46"/>
      <c r="B69" s="47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9">
        <f t="shared" si="4"/>
        <v>0</v>
      </c>
      <c r="Q69" s="50">
        <f t="shared" si="3"/>
        <v>25</v>
      </c>
      <c r="W69" s="2"/>
      <c r="X69"/>
      <c r="Y69"/>
      <c r="Z69"/>
      <c r="AA69"/>
      <c r="AB69"/>
    </row>
    <row r="70" spans="1:28" ht="14.25" hidden="1" customHeight="1" x14ac:dyDescent="0.25">
      <c r="A70" s="51"/>
      <c r="B70" s="5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7">
        <f t="shared" si="4"/>
        <v>0</v>
      </c>
      <c r="Q70" s="58">
        <f t="shared" si="3"/>
        <v>25</v>
      </c>
      <c r="W70" s="2"/>
      <c r="X70"/>
      <c r="Y70"/>
      <c r="Z70"/>
      <c r="AA70"/>
      <c r="AB70"/>
    </row>
    <row r="71" spans="1:28" ht="14.25" hidden="1" customHeight="1" x14ac:dyDescent="0.25">
      <c r="A71" s="46"/>
      <c r="B71" s="47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9">
        <f t="shared" si="4"/>
        <v>0</v>
      </c>
      <c r="Q71" s="50">
        <f t="shared" si="3"/>
        <v>25</v>
      </c>
      <c r="W71" s="2"/>
      <c r="X71"/>
      <c r="Y71"/>
      <c r="Z71"/>
      <c r="AA71"/>
      <c r="AB71"/>
    </row>
    <row r="72" spans="1:28" ht="14.25" hidden="1" customHeight="1" x14ac:dyDescent="0.25">
      <c r="A72" s="51"/>
      <c r="B72" s="5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7">
        <f t="shared" si="4"/>
        <v>0</v>
      </c>
      <c r="Q72" s="58">
        <f t="shared" si="3"/>
        <v>25</v>
      </c>
      <c r="W72" s="2"/>
      <c r="X72"/>
      <c r="Y72"/>
      <c r="Z72"/>
      <c r="AA72"/>
      <c r="AB72"/>
    </row>
    <row r="73" spans="1:28" ht="14.25" hidden="1" customHeight="1" x14ac:dyDescent="0.25">
      <c r="A73" s="46"/>
      <c r="B73" s="47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9">
        <f t="shared" si="4"/>
        <v>0</v>
      </c>
      <c r="Q73" s="50">
        <f t="shared" si="3"/>
        <v>25</v>
      </c>
      <c r="W73" s="2"/>
      <c r="X73"/>
      <c r="Y73"/>
      <c r="Z73"/>
      <c r="AA73"/>
      <c r="AB73"/>
    </row>
    <row r="74" spans="1:28" ht="14.25" hidden="1" customHeight="1" x14ac:dyDescent="0.25">
      <c r="A74" s="51"/>
      <c r="B74" s="5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7">
        <f t="shared" si="4"/>
        <v>0</v>
      </c>
      <c r="Q74" s="58">
        <f t="shared" si="3"/>
        <v>25</v>
      </c>
      <c r="W74" s="2"/>
      <c r="X74"/>
      <c r="Y74"/>
      <c r="Z74"/>
      <c r="AA74"/>
      <c r="AB74"/>
    </row>
    <row r="75" spans="1:28" ht="14.25" hidden="1" customHeight="1" x14ac:dyDescent="0.25">
      <c r="A75" s="46"/>
      <c r="B75" s="47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9">
        <f t="shared" si="4"/>
        <v>0</v>
      </c>
      <c r="Q75" s="50">
        <f t="shared" si="3"/>
        <v>25</v>
      </c>
      <c r="W75" s="2"/>
      <c r="X75"/>
      <c r="Y75"/>
      <c r="Z75"/>
      <c r="AA75"/>
      <c r="AB75"/>
    </row>
    <row r="76" spans="1:28" ht="14.25" hidden="1" customHeight="1" x14ac:dyDescent="0.25">
      <c r="A76" s="51"/>
      <c r="B76" s="5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7">
        <f t="shared" si="4"/>
        <v>0</v>
      </c>
      <c r="Q76" s="58">
        <f t="shared" si="3"/>
        <v>25</v>
      </c>
      <c r="W76" s="2"/>
      <c r="X76"/>
      <c r="Y76"/>
      <c r="Z76"/>
      <c r="AA76"/>
      <c r="AB76"/>
    </row>
    <row r="77" spans="1:28" ht="14.25" hidden="1" customHeight="1" x14ac:dyDescent="0.25">
      <c r="A77" s="46"/>
      <c r="B77" s="47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9">
        <f t="shared" si="4"/>
        <v>0</v>
      </c>
      <c r="Q77" s="50">
        <f t="shared" si="3"/>
        <v>25</v>
      </c>
      <c r="W77" s="2"/>
      <c r="X77"/>
      <c r="Y77"/>
      <c r="Z77"/>
      <c r="AA77"/>
      <c r="AB77"/>
    </row>
    <row r="78" spans="1:28" ht="14.25" hidden="1" customHeight="1" x14ac:dyDescent="0.25">
      <c r="A78" s="51"/>
      <c r="B78" s="5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7">
        <f t="shared" si="4"/>
        <v>0</v>
      </c>
      <c r="Q78" s="58">
        <f t="shared" si="3"/>
        <v>25</v>
      </c>
      <c r="W78" s="2"/>
      <c r="X78"/>
      <c r="Y78"/>
      <c r="Z78"/>
      <c r="AA78"/>
      <c r="AB78"/>
    </row>
    <row r="79" spans="1:28" ht="14.25" hidden="1" customHeight="1" x14ac:dyDescent="0.25">
      <c r="A79" s="46"/>
      <c r="B79" s="47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9">
        <f t="shared" si="4"/>
        <v>0</v>
      </c>
      <c r="Q79" s="50">
        <f t="shared" si="3"/>
        <v>25</v>
      </c>
      <c r="W79" s="2"/>
      <c r="X79"/>
      <c r="Y79"/>
      <c r="Z79"/>
      <c r="AA79"/>
      <c r="AB79"/>
    </row>
    <row r="80" spans="1:28" ht="14.25" hidden="1" customHeight="1" x14ac:dyDescent="0.25">
      <c r="A80" s="51"/>
      <c r="B80" s="5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7">
        <f t="shared" si="4"/>
        <v>0</v>
      </c>
      <c r="Q80" s="58">
        <f t="shared" si="3"/>
        <v>25</v>
      </c>
      <c r="W80" s="2"/>
      <c r="X80"/>
      <c r="Y80"/>
      <c r="Z80"/>
      <c r="AA80"/>
      <c r="AB80"/>
    </row>
    <row r="81" spans="1:28" ht="14.25" hidden="1" customHeight="1" x14ac:dyDescent="0.25">
      <c r="A81" s="46"/>
      <c r="B81" s="47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9">
        <f t="shared" si="4"/>
        <v>0</v>
      </c>
      <c r="Q81" s="50">
        <f t="shared" si="3"/>
        <v>25</v>
      </c>
      <c r="W81" s="2"/>
      <c r="X81"/>
      <c r="Y81"/>
      <c r="Z81"/>
      <c r="AA81"/>
      <c r="AB81"/>
    </row>
    <row r="82" spans="1:28" ht="14.25" hidden="1" customHeight="1" x14ac:dyDescent="0.25">
      <c r="A82" s="51"/>
      <c r="B82" s="5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7">
        <f t="shared" si="4"/>
        <v>0</v>
      </c>
      <c r="Q82" s="58">
        <f t="shared" ref="Q82:Q113" si="5">IF(J82="",25,"Input")</f>
        <v>25</v>
      </c>
      <c r="W82" s="2"/>
      <c r="X82"/>
      <c r="Y82"/>
      <c r="Z82"/>
      <c r="AA82"/>
      <c r="AB82"/>
    </row>
    <row r="83" spans="1:28" ht="14.25" hidden="1" customHeight="1" x14ac:dyDescent="0.25">
      <c r="A83" s="46"/>
      <c r="B83" s="47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9">
        <f t="shared" si="4"/>
        <v>0</v>
      </c>
      <c r="Q83" s="50">
        <f t="shared" si="5"/>
        <v>25</v>
      </c>
      <c r="W83" s="2"/>
      <c r="X83"/>
      <c r="Y83"/>
      <c r="Z83"/>
      <c r="AA83"/>
      <c r="AB83"/>
    </row>
    <row r="84" spans="1:28" ht="14.25" hidden="1" customHeight="1" x14ac:dyDescent="0.25">
      <c r="A84" s="51"/>
      <c r="B84" s="5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7">
        <f t="shared" si="4"/>
        <v>0</v>
      </c>
      <c r="Q84" s="58">
        <f t="shared" si="5"/>
        <v>25</v>
      </c>
      <c r="W84" s="2"/>
      <c r="X84"/>
      <c r="Y84"/>
      <c r="Z84"/>
      <c r="AA84"/>
      <c r="AB84"/>
    </row>
    <row r="85" spans="1:28" ht="14.25" hidden="1" customHeight="1" x14ac:dyDescent="0.25">
      <c r="A85" s="46"/>
      <c r="B85" s="47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9">
        <f t="shared" si="4"/>
        <v>0</v>
      </c>
      <c r="Q85" s="50">
        <f t="shared" si="5"/>
        <v>25</v>
      </c>
      <c r="W85" s="2"/>
      <c r="X85"/>
      <c r="Y85"/>
      <c r="Z85"/>
      <c r="AA85"/>
      <c r="AB85"/>
    </row>
    <row r="86" spans="1:28" ht="14.25" hidden="1" customHeight="1" x14ac:dyDescent="0.25">
      <c r="A86" s="51"/>
      <c r="B86" s="5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7">
        <f t="shared" si="4"/>
        <v>0</v>
      </c>
      <c r="Q86" s="58">
        <f t="shared" si="5"/>
        <v>25</v>
      </c>
      <c r="W86" s="2"/>
      <c r="X86"/>
      <c r="Y86"/>
      <c r="Z86"/>
      <c r="AA86"/>
      <c r="AB86"/>
    </row>
    <row r="87" spans="1:28" ht="14.25" hidden="1" customHeight="1" x14ac:dyDescent="0.25">
      <c r="A87" s="46"/>
      <c r="B87" s="47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9">
        <f t="shared" si="4"/>
        <v>0</v>
      </c>
      <c r="Q87" s="50">
        <f t="shared" si="5"/>
        <v>25</v>
      </c>
      <c r="W87" s="2"/>
      <c r="X87"/>
      <c r="Y87"/>
      <c r="Z87"/>
      <c r="AA87"/>
      <c r="AB87"/>
    </row>
    <row r="88" spans="1:28" ht="14.25" hidden="1" customHeight="1" x14ac:dyDescent="0.25">
      <c r="A88" s="51"/>
      <c r="B88" s="5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7">
        <f t="shared" si="4"/>
        <v>0</v>
      </c>
      <c r="Q88" s="58">
        <f t="shared" si="5"/>
        <v>25</v>
      </c>
      <c r="W88" s="2"/>
      <c r="X88"/>
      <c r="Y88"/>
      <c r="Z88"/>
      <c r="AA88"/>
      <c r="AB88"/>
    </row>
    <row r="89" spans="1:28" ht="14.25" hidden="1" customHeight="1" x14ac:dyDescent="0.25">
      <c r="A89" s="46"/>
      <c r="B89" s="47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9">
        <f t="shared" si="4"/>
        <v>0</v>
      </c>
      <c r="Q89" s="50">
        <f t="shared" si="5"/>
        <v>25</v>
      </c>
      <c r="W89" s="2"/>
      <c r="X89"/>
      <c r="Y89"/>
      <c r="Z89"/>
      <c r="AA89"/>
      <c r="AB89"/>
    </row>
    <row r="90" spans="1:28" ht="14.25" hidden="1" customHeight="1" x14ac:dyDescent="0.25">
      <c r="A90" s="51"/>
      <c r="B90" s="5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7">
        <f t="shared" ref="P90:P121" si="6">IF(SUM(C90:O90)&lt;&gt;B90,"ERROR",IF(COUNT(C90:O90)&gt;1,"COUNT",SUM(C90:O90)))</f>
        <v>0</v>
      </c>
      <c r="Q90" s="58">
        <f t="shared" si="5"/>
        <v>25</v>
      </c>
      <c r="W90" s="2"/>
      <c r="X90"/>
      <c r="Y90"/>
      <c r="Z90"/>
      <c r="AA90"/>
      <c r="AB90"/>
    </row>
    <row r="91" spans="1:28" ht="14.25" hidden="1" customHeight="1" x14ac:dyDescent="0.25">
      <c r="A91" s="46"/>
      <c r="B91" s="47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9">
        <f t="shared" si="6"/>
        <v>0</v>
      </c>
      <c r="Q91" s="50">
        <f t="shared" si="5"/>
        <v>25</v>
      </c>
      <c r="W91" s="2"/>
      <c r="X91"/>
      <c r="Y91"/>
      <c r="Z91"/>
      <c r="AA91"/>
      <c r="AB91"/>
    </row>
    <row r="92" spans="1:28" ht="14.25" hidden="1" customHeight="1" x14ac:dyDescent="0.25">
      <c r="A92" s="51"/>
      <c r="B92" s="5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7">
        <f t="shared" si="6"/>
        <v>0</v>
      </c>
      <c r="Q92" s="58">
        <f t="shared" si="5"/>
        <v>25</v>
      </c>
      <c r="W92" s="2"/>
      <c r="X92"/>
      <c r="Y92"/>
      <c r="Z92"/>
      <c r="AA92"/>
      <c r="AB92"/>
    </row>
    <row r="93" spans="1:28" ht="14.25" hidden="1" customHeight="1" x14ac:dyDescent="0.25">
      <c r="A93" s="46"/>
      <c r="B93" s="47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9">
        <f t="shared" si="6"/>
        <v>0</v>
      </c>
      <c r="Q93" s="50">
        <f t="shared" si="5"/>
        <v>25</v>
      </c>
      <c r="W93" s="2"/>
      <c r="X93"/>
      <c r="Y93"/>
      <c r="Z93"/>
      <c r="AA93"/>
      <c r="AB93"/>
    </row>
    <row r="94" spans="1:28" ht="14.25" hidden="1" customHeight="1" x14ac:dyDescent="0.25">
      <c r="A94" s="51"/>
      <c r="B94" s="5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7">
        <f t="shared" si="6"/>
        <v>0</v>
      </c>
      <c r="Q94" s="58">
        <f t="shared" si="5"/>
        <v>25</v>
      </c>
      <c r="W94" s="2"/>
      <c r="X94"/>
      <c r="Y94"/>
      <c r="Z94"/>
      <c r="AA94"/>
      <c r="AB94"/>
    </row>
    <row r="95" spans="1:28" ht="14.25" hidden="1" customHeight="1" x14ac:dyDescent="0.25">
      <c r="A95" s="46"/>
      <c r="B95" s="47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9">
        <f t="shared" si="6"/>
        <v>0</v>
      </c>
      <c r="Q95" s="50">
        <f t="shared" si="5"/>
        <v>25</v>
      </c>
      <c r="W95" s="2"/>
      <c r="X95"/>
      <c r="Y95"/>
      <c r="Z95"/>
      <c r="AA95"/>
      <c r="AB95"/>
    </row>
    <row r="96" spans="1:28" ht="14.25" hidden="1" customHeight="1" x14ac:dyDescent="0.25">
      <c r="A96" s="51"/>
      <c r="B96" s="5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7">
        <f t="shared" si="6"/>
        <v>0</v>
      </c>
      <c r="Q96" s="58">
        <f t="shared" si="5"/>
        <v>25</v>
      </c>
      <c r="W96" s="2"/>
      <c r="X96"/>
      <c r="Y96"/>
      <c r="Z96"/>
      <c r="AA96"/>
      <c r="AB96"/>
    </row>
    <row r="97" spans="1:28" ht="14.25" hidden="1" customHeight="1" x14ac:dyDescent="0.25">
      <c r="A97" s="46"/>
      <c r="B97" s="47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9">
        <f t="shared" si="6"/>
        <v>0</v>
      </c>
      <c r="Q97" s="50">
        <f t="shared" si="5"/>
        <v>25</v>
      </c>
      <c r="W97" s="2"/>
      <c r="X97"/>
      <c r="Y97"/>
      <c r="Z97"/>
      <c r="AA97"/>
      <c r="AB97"/>
    </row>
    <row r="98" spans="1:28" ht="14.25" hidden="1" customHeight="1" x14ac:dyDescent="0.25">
      <c r="A98" s="51"/>
      <c r="B98" s="5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7">
        <f t="shared" si="6"/>
        <v>0</v>
      </c>
      <c r="Q98" s="58">
        <f t="shared" si="5"/>
        <v>25</v>
      </c>
      <c r="W98" s="2"/>
      <c r="X98"/>
      <c r="Y98"/>
      <c r="Z98"/>
      <c r="AA98"/>
      <c r="AB98"/>
    </row>
    <row r="99" spans="1:28" ht="14.25" hidden="1" customHeight="1" x14ac:dyDescent="0.25">
      <c r="A99" s="46"/>
      <c r="B99" s="47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9">
        <f t="shared" si="6"/>
        <v>0</v>
      </c>
      <c r="Q99" s="50">
        <f t="shared" si="5"/>
        <v>25</v>
      </c>
      <c r="W99" s="2"/>
      <c r="X99"/>
      <c r="Y99"/>
      <c r="Z99"/>
      <c r="AA99"/>
      <c r="AB99"/>
    </row>
    <row r="100" spans="1:28" ht="14.25" hidden="1" customHeight="1" x14ac:dyDescent="0.25">
      <c r="A100" s="51"/>
      <c r="B100" s="5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7">
        <f t="shared" si="6"/>
        <v>0</v>
      </c>
      <c r="Q100" s="58">
        <f t="shared" si="5"/>
        <v>25</v>
      </c>
      <c r="W100" s="2"/>
      <c r="X100"/>
      <c r="Y100"/>
      <c r="Z100"/>
      <c r="AA100"/>
      <c r="AB100"/>
    </row>
    <row r="101" spans="1:28" ht="14.25" hidden="1" customHeight="1" x14ac:dyDescent="0.25">
      <c r="A101" s="46"/>
      <c r="B101" s="47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9">
        <f t="shared" si="6"/>
        <v>0</v>
      </c>
      <c r="Q101" s="50">
        <f t="shared" si="5"/>
        <v>25</v>
      </c>
      <c r="W101" s="2"/>
      <c r="X101"/>
      <c r="Y101"/>
      <c r="Z101"/>
      <c r="AA101"/>
      <c r="AB101"/>
    </row>
    <row r="102" spans="1:28" ht="14.25" hidden="1" customHeight="1" x14ac:dyDescent="0.25">
      <c r="A102" s="51"/>
      <c r="B102" s="5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7">
        <f t="shared" si="6"/>
        <v>0</v>
      </c>
      <c r="Q102" s="58">
        <f t="shared" si="5"/>
        <v>25</v>
      </c>
      <c r="W102" s="2"/>
      <c r="X102"/>
      <c r="Y102"/>
      <c r="Z102"/>
      <c r="AA102"/>
      <c r="AB102"/>
    </row>
    <row r="103" spans="1:28" ht="14.25" hidden="1" customHeight="1" x14ac:dyDescent="0.25">
      <c r="A103" s="46"/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9">
        <f t="shared" si="6"/>
        <v>0</v>
      </c>
      <c r="Q103" s="50">
        <f t="shared" si="5"/>
        <v>25</v>
      </c>
      <c r="W103" s="2"/>
      <c r="X103"/>
      <c r="Y103"/>
      <c r="Z103"/>
      <c r="AA103"/>
      <c r="AB103"/>
    </row>
    <row r="104" spans="1:28" ht="14.25" hidden="1" customHeight="1" x14ac:dyDescent="0.25">
      <c r="A104" s="51"/>
      <c r="B104" s="5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7">
        <f t="shared" si="6"/>
        <v>0</v>
      </c>
      <c r="Q104" s="58">
        <f t="shared" si="5"/>
        <v>25</v>
      </c>
      <c r="W104" s="2"/>
      <c r="X104"/>
      <c r="Y104"/>
      <c r="Z104"/>
      <c r="AA104"/>
      <c r="AB104"/>
    </row>
    <row r="105" spans="1:28" ht="14.25" hidden="1" customHeight="1" x14ac:dyDescent="0.25">
      <c r="A105" s="46"/>
      <c r="B105" s="47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9">
        <f t="shared" si="6"/>
        <v>0</v>
      </c>
      <c r="Q105" s="50">
        <f t="shared" si="5"/>
        <v>25</v>
      </c>
      <c r="W105" s="2"/>
      <c r="X105"/>
      <c r="Y105"/>
      <c r="Z105"/>
      <c r="AA105"/>
      <c r="AB105"/>
    </row>
    <row r="106" spans="1:28" ht="14.25" hidden="1" customHeight="1" x14ac:dyDescent="0.25">
      <c r="A106" s="51"/>
      <c r="B106" s="5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7">
        <f t="shared" si="6"/>
        <v>0</v>
      </c>
      <c r="Q106" s="58">
        <f t="shared" si="5"/>
        <v>25</v>
      </c>
      <c r="W106" s="2"/>
      <c r="X106"/>
      <c r="Y106"/>
      <c r="Z106"/>
      <c r="AA106"/>
      <c r="AB106"/>
    </row>
    <row r="107" spans="1:28" ht="14.25" hidden="1" customHeight="1" x14ac:dyDescent="0.25">
      <c r="A107" s="46"/>
      <c r="B107" s="47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9">
        <f t="shared" si="6"/>
        <v>0</v>
      </c>
      <c r="Q107" s="50">
        <f t="shared" si="5"/>
        <v>25</v>
      </c>
      <c r="W107" s="2"/>
      <c r="X107"/>
      <c r="Y107"/>
      <c r="Z107"/>
      <c r="AA107"/>
      <c r="AB107"/>
    </row>
    <row r="108" spans="1:28" ht="14.25" hidden="1" customHeight="1" x14ac:dyDescent="0.25">
      <c r="A108" s="51"/>
      <c r="B108" s="5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7">
        <f t="shared" si="6"/>
        <v>0</v>
      </c>
      <c r="Q108" s="58">
        <f t="shared" si="5"/>
        <v>25</v>
      </c>
      <c r="W108" s="2"/>
      <c r="X108"/>
      <c r="Y108"/>
      <c r="Z108"/>
      <c r="AA108"/>
      <c r="AB108"/>
    </row>
    <row r="109" spans="1:28" ht="14.25" hidden="1" customHeight="1" x14ac:dyDescent="0.25">
      <c r="A109" s="46"/>
      <c r="B109" s="47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9">
        <f t="shared" si="6"/>
        <v>0</v>
      </c>
      <c r="Q109" s="50">
        <f t="shared" si="5"/>
        <v>25</v>
      </c>
      <c r="W109" s="2"/>
      <c r="X109"/>
      <c r="Y109"/>
      <c r="Z109"/>
      <c r="AA109"/>
      <c r="AB109"/>
    </row>
    <row r="110" spans="1:28" ht="14.25" hidden="1" customHeight="1" x14ac:dyDescent="0.25">
      <c r="A110" s="51"/>
      <c r="B110" s="5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7">
        <f t="shared" si="6"/>
        <v>0</v>
      </c>
      <c r="Q110" s="58">
        <f t="shared" si="5"/>
        <v>25</v>
      </c>
      <c r="W110" s="2"/>
      <c r="X110"/>
      <c r="Y110"/>
      <c r="Z110"/>
      <c r="AA110"/>
      <c r="AB110"/>
    </row>
    <row r="111" spans="1:28" ht="14.25" hidden="1" customHeight="1" x14ac:dyDescent="0.25">
      <c r="A111" s="46"/>
      <c r="B111" s="47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9">
        <f t="shared" si="6"/>
        <v>0</v>
      </c>
      <c r="Q111" s="50">
        <f t="shared" si="5"/>
        <v>25</v>
      </c>
      <c r="W111" s="2"/>
      <c r="X111"/>
      <c r="Y111"/>
      <c r="Z111"/>
      <c r="AA111"/>
      <c r="AB111"/>
    </row>
    <row r="112" spans="1:28" ht="14.25" hidden="1" customHeight="1" x14ac:dyDescent="0.25">
      <c r="A112" s="51"/>
      <c r="B112" s="5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7">
        <f t="shared" si="6"/>
        <v>0</v>
      </c>
      <c r="Q112" s="58">
        <f t="shared" si="5"/>
        <v>25</v>
      </c>
      <c r="W112" s="2"/>
      <c r="X112"/>
      <c r="Y112"/>
      <c r="Z112"/>
      <c r="AA112"/>
      <c r="AB112"/>
    </row>
    <row r="113" spans="1:28" ht="14.25" hidden="1" customHeight="1" x14ac:dyDescent="0.25">
      <c r="A113" s="46"/>
      <c r="B113" s="47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9">
        <f t="shared" si="6"/>
        <v>0</v>
      </c>
      <c r="Q113" s="50">
        <f t="shared" si="5"/>
        <v>25</v>
      </c>
      <c r="W113" s="2"/>
      <c r="X113"/>
      <c r="Y113"/>
      <c r="Z113"/>
      <c r="AA113"/>
      <c r="AB113"/>
    </row>
    <row r="114" spans="1:28" ht="14.25" hidden="1" customHeight="1" x14ac:dyDescent="0.25">
      <c r="A114" s="51"/>
      <c r="B114" s="5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7">
        <f t="shared" si="6"/>
        <v>0</v>
      </c>
      <c r="Q114" s="58">
        <f t="shared" ref="Q114:Q131" si="7">IF(J114="",25,"Input")</f>
        <v>25</v>
      </c>
      <c r="W114" s="2"/>
      <c r="X114"/>
      <c r="Y114"/>
      <c r="Z114"/>
      <c r="AA114"/>
      <c r="AB114"/>
    </row>
    <row r="115" spans="1:28" ht="14.25" hidden="1" customHeight="1" x14ac:dyDescent="0.25">
      <c r="A115" s="46"/>
      <c r="B115" s="47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9">
        <f t="shared" si="6"/>
        <v>0</v>
      </c>
      <c r="Q115" s="50">
        <f t="shared" si="7"/>
        <v>25</v>
      </c>
      <c r="W115" s="2"/>
      <c r="X115"/>
      <c r="Y115"/>
      <c r="Z115"/>
      <c r="AA115"/>
      <c r="AB115"/>
    </row>
    <row r="116" spans="1:28" ht="14.25" hidden="1" customHeight="1" x14ac:dyDescent="0.25">
      <c r="A116" s="51"/>
      <c r="B116" s="5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7">
        <f t="shared" si="6"/>
        <v>0</v>
      </c>
      <c r="Q116" s="58">
        <f t="shared" si="7"/>
        <v>25</v>
      </c>
      <c r="W116" s="2"/>
      <c r="X116"/>
      <c r="Y116"/>
      <c r="Z116"/>
      <c r="AA116"/>
      <c r="AB116"/>
    </row>
    <row r="117" spans="1:28" ht="14.25" hidden="1" customHeight="1" x14ac:dyDescent="0.25">
      <c r="A117" s="46"/>
      <c r="B117" s="47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9">
        <f t="shared" si="6"/>
        <v>0</v>
      </c>
      <c r="Q117" s="50">
        <f t="shared" si="7"/>
        <v>25</v>
      </c>
      <c r="W117" s="2"/>
      <c r="X117"/>
      <c r="Y117"/>
      <c r="Z117"/>
      <c r="AA117"/>
      <c r="AB117"/>
    </row>
    <row r="118" spans="1:28" ht="14.25" hidden="1" customHeight="1" x14ac:dyDescent="0.25">
      <c r="A118" s="51"/>
      <c r="B118" s="5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7">
        <f t="shared" si="6"/>
        <v>0</v>
      </c>
      <c r="Q118" s="58">
        <f t="shared" si="7"/>
        <v>25</v>
      </c>
      <c r="W118" s="2"/>
      <c r="X118"/>
      <c r="Y118"/>
      <c r="Z118"/>
      <c r="AA118"/>
      <c r="AB118"/>
    </row>
    <row r="119" spans="1:28" ht="14.25" hidden="1" customHeight="1" x14ac:dyDescent="0.25">
      <c r="A119" s="46"/>
      <c r="B119" s="47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9">
        <f t="shared" si="6"/>
        <v>0</v>
      </c>
      <c r="Q119" s="50">
        <f t="shared" si="7"/>
        <v>25</v>
      </c>
      <c r="W119" s="2"/>
      <c r="X119"/>
      <c r="Y119"/>
      <c r="Z119"/>
      <c r="AA119"/>
      <c r="AB119"/>
    </row>
    <row r="120" spans="1:28" ht="14.25" hidden="1" customHeight="1" x14ac:dyDescent="0.25">
      <c r="A120" s="51"/>
      <c r="B120" s="5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7">
        <f t="shared" si="6"/>
        <v>0</v>
      </c>
      <c r="Q120" s="58">
        <f t="shared" si="7"/>
        <v>25</v>
      </c>
      <c r="W120" s="2"/>
      <c r="X120"/>
      <c r="Y120"/>
      <c r="Z120"/>
      <c r="AA120"/>
      <c r="AB120"/>
    </row>
    <row r="121" spans="1:28" ht="14.25" hidden="1" customHeight="1" x14ac:dyDescent="0.25">
      <c r="A121" s="46"/>
      <c r="B121" s="47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9">
        <f t="shared" si="6"/>
        <v>0</v>
      </c>
      <c r="Q121" s="50">
        <f t="shared" si="7"/>
        <v>25</v>
      </c>
      <c r="W121" s="2"/>
      <c r="X121"/>
      <c r="Y121"/>
      <c r="Z121"/>
      <c r="AA121"/>
      <c r="AB121"/>
    </row>
    <row r="122" spans="1:28" ht="14.25" hidden="1" customHeight="1" x14ac:dyDescent="0.25">
      <c r="A122" s="51"/>
      <c r="B122" s="5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7">
        <f t="shared" ref="P122:P132" si="8">IF(SUM(C122:O122)&lt;&gt;B122,"ERROR",IF(COUNT(C122:O122)&gt;1,"COUNT",SUM(C122:O122)))</f>
        <v>0</v>
      </c>
      <c r="Q122" s="58">
        <f t="shared" si="7"/>
        <v>25</v>
      </c>
      <c r="W122" s="2"/>
      <c r="X122"/>
      <c r="Y122"/>
      <c r="Z122"/>
      <c r="AA122"/>
      <c r="AB122"/>
    </row>
    <row r="123" spans="1:28" ht="14.25" hidden="1" customHeight="1" x14ac:dyDescent="0.25">
      <c r="A123" s="46"/>
      <c r="B123" s="47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9">
        <f t="shared" si="8"/>
        <v>0</v>
      </c>
      <c r="Q123" s="50">
        <f t="shared" si="7"/>
        <v>25</v>
      </c>
      <c r="W123" s="2"/>
      <c r="X123"/>
      <c r="Y123"/>
      <c r="Z123"/>
      <c r="AA123"/>
      <c r="AB123"/>
    </row>
    <row r="124" spans="1:28" ht="14.25" hidden="1" customHeight="1" x14ac:dyDescent="0.25">
      <c r="A124" s="51"/>
      <c r="B124" s="5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7">
        <f t="shared" si="8"/>
        <v>0</v>
      </c>
      <c r="Q124" s="58">
        <f t="shared" si="7"/>
        <v>25</v>
      </c>
      <c r="W124" s="2"/>
      <c r="X124"/>
      <c r="Y124"/>
      <c r="Z124"/>
      <c r="AA124"/>
      <c r="AB124"/>
    </row>
    <row r="125" spans="1:28" ht="14.25" hidden="1" customHeight="1" x14ac:dyDescent="0.25">
      <c r="A125" s="46"/>
      <c r="B125" s="47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9">
        <f t="shared" si="8"/>
        <v>0</v>
      </c>
      <c r="Q125" s="50">
        <f t="shared" si="7"/>
        <v>25</v>
      </c>
      <c r="W125" s="2"/>
      <c r="X125"/>
      <c r="Y125"/>
      <c r="Z125"/>
      <c r="AA125"/>
      <c r="AB125"/>
    </row>
    <row r="126" spans="1:28" ht="14.25" hidden="1" customHeight="1" x14ac:dyDescent="0.25">
      <c r="A126" s="51"/>
      <c r="B126" s="5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7">
        <f t="shared" si="8"/>
        <v>0</v>
      </c>
      <c r="Q126" s="58">
        <f t="shared" si="7"/>
        <v>25</v>
      </c>
      <c r="W126" s="2"/>
      <c r="X126"/>
      <c r="Y126"/>
      <c r="Z126"/>
      <c r="AA126"/>
      <c r="AB126"/>
    </row>
    <row r="127" spans="1:28" ht="14.25" hidden="1" customHeight="1" x14ac:dyDescent="0.25">
      <c r="A127" s="46"/>
      <c r="B127" s="47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9">
        <f t="shared" si="8"/>
        <v>0</v>
      </c>
      <c r="Q127" s="50">
        <f t="shared" si="7"/>
        <v>25</v>
      </c>
      <c r="W127" s="2"/>
      <c r="X127"/>
      <c r="Y127"/>
      <c r="Z127"/>
      <c r="AA127"/>
      <c r="AB127"/>
    </row>
    <row r="128" spans="1:28" ht="14.25" hidden="1" customHeight="1" x14ac:dyDescent="0.25">
      <c r="A128" s="51"/>
      <c r="B128" s="5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7">
        <f t="shared" si="8"/>
        <v>0</v>
      </c>
      <c r="Q128" s="58">
        <f t="shared" si="7"/>
        <v>25</v>
      </c>
      <c r="W128" s="2"/>
      <c r="X128"/>
      <c r="Y128"/>
      <c r="Z128"/>
      <c r="AA128"/>
      <c r="AB128"/>
    </row>
    <row r="129" spans="1:28" ht="14.25" hidden="1" customHeight="1" x14ac:dyDescent="0.25">
      <c r="A129" s="46"/>
      <c r="B129" s="47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9">
        <f t="shared" si="8"/>
        <v>0</v>
      </c>
      <c r="Q129" s="50">
        <f t="shared" si="7"/>
        <v>25</v>
      </c>
      <c r="W129" s="2"/>
      <c r="X129"/>
      <c r="Y129"/>
      <c r="Z129"/>
      <c r="AA129"/>
      <c r="AB129"/>
    </row>
    <row r="130" spans="1:28" ht="14.25" hidden="1" customHeight="1" x14ac:dyDescent="0.25">
      <c r="A130" s="51"/>
      <c r="B130" s="5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7">
        <f t="shared" si="8"/>
        <v>0</v>
      </c>
      <c r="Q130" s="58">
        <f t="shared" si="7"/>
        <v>25</v>
      </c>
      <c r="W130" s="2"/>
      <c r="X130"/>
      <c r="Y130"/>
      <c r="Z130"/>
      <c r="AA130"/>
      <c r="AB130"/>
    </row>
    <row r="131" spans="1:28" ht="14.25" hidden="1" customHeight="1" x14ac:dyDescent="0.25">
      <c r="A131" s="46"/>
      <c r="B131" s="47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9">
        <f t="shared" si="8"/>
        <v>0</v>
      </c>
      <c r="Q131" s="50">
        <f t="shared" si="7"/>
        <v>25</v>
      </c>
      <c r="W131" s="2"/>
      <c r="X131"/>
      <c r="Y131"/>
      <c r="Z131"/>
      <c r="AA131"/>
      <c r="AB131"/>
    </row>
    <row r="132" spans="1:28" ht="14.25" hidden="1" customHeight="1" thickBot="1" x14ac:dyDescent="0.3">
      <c r="A132" s="60"/>
      <c r="B132" s="61"/>
      <c r="C132" s="62"/>
      <c r="D132" s="62"/>
      <c r="E132" s="62"/>
      <c r="F132" s="62"/>
      <c r="G132" s="62"/>
      <c r="H132" s="62"/>
      <c r="I132" s="62"/>
      <c r="J132" s="31"/>
      <c r="K132" s="62"/>
      <c r="L132" s="62"/>
      <c r="M132" s="62"/>
      <c r="N132" s="62"/>
      <c r="O132" s="62"/>
      <c r="P132" s="63">
        <f t="shared" si="8"/>
        <v>0</v>
      </c>
      <c r="Q132" s="64">
        <f>IF(K132="",25,"Input")</f>
        <v>25</v>
      </c>
      <c r="W132" s="2"/>
      <c r="X132"/>
      <c r="Y132"/>
      <c r="Z132"/>
      <c r="AA132"/>
      <c r="AB132"/>
    </row>
    <row r="133" spans="1:28" ht="14.25" customHeight="1" x14ac:dyDescent="0.25">
      <c r="A133" s="32"/>
      <c r="B133" s="33">
        <f>SUM(B26:B132)</f>
        <v>6673</v>
      </c>
      <c r="C133" s="33">
        <f>SUM(C26:C132)</f>
        <v>0</v>
      </c>
      <c r="D133" s="33">
        <f t="shared" ref="D133:O133" si="9">SUM(D26:D132)</f>
        <v>1724</v>
      </c>
      <c r="E133" s="33">
        <f t="shared" si="9"/>
        <v>0</v>
      </c>
      <c r="F133" s="33">
        <f t="shared" si="9"/>
        <v>0</v>
      </c>
      <c r="G133" s="33">
        <f t="shared" si="9"/>
        <v>11</v>
      </c>
      <c r="H133" s="33">
        <f t="shared" si="9"/>
        <v>44</v>
      </c>
      <c r="I133" s="33">
        <f t="shared" si="9"/>
        <v>0</v>
      </c>
      <c r="J133" s="33">
        <f t="shared" si="9"/>
        <v>4894</v>
      </c>
      <c r="K133" s="33">
        <f>SUM(K26:K132)</f>
        <v>0</v>
      </c>
      <c r="L133" s="33">
        <f t="shared" si="9"/>
        <v>0</v>
      </c>
      <c r="M133" s="33">
        <f t="shared" si="9"/>
        <v>0</v>
      </c>
      <c r="N133" s="33">
        <f t="shared" si="9"/>
        <v>0</v>
      </c>
      <c r="O133" s="33">
        <f t="shared" si="9"/>
        <v>0</v>
      </c>
      <c r="P133" s="33">
        <f>SUM(P26:P132)</f>
        <v>6673</v>
      </c>
      <c r="Q133" s="30"/>
      <c r="W133" s="2"/>
      <c r="X133"/>
      <c r="Y133"/>
      <c r="Z133"/>
      <c r="AA133"/>
      <c r="AB133"/>
    </row>
    <row r="134" spans="1:28" ht="14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W134" s="2"/>
    </row>
    <row r="135" spans="1:28" ht="14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W135" s="2"/>
    </row>
    <row r="136" spans="1:28" ht="14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14:O14"/>
    <mergeCell ref="K21:O21"/>
    <mergeCell ref="K15:O15"/>
    <mergeCell ref="K16:O16"/>
    <mergeCell ref="K17:O17"/>
    <mergeCell ref="K18:O18"/>
    <mergeCell ref="K19:O19"/>
    <mergeCell ref="K20:O20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A24:A25"/>
    <mergeCell ref="B24:B25"/>
    <mergeCell ref="C24:C25"/>
    <mergeCell ref="D24:D25"/>
    <mergeCell ref="E24:E25"/>
    <mergeCell ref="K24:K25"/>
    <mergeCell ref="L24:L25"/>
    <mergeCell ref="M24:M25"/>
    <mergeCell ref="F24:F25"/>
    <mergeCell ref="G24:G25"/>
    <mergeCell ref="H24:H25"/>
    <mergeCell ref="I24:I25"/>
    <mergeCell ref="J24:J25"/>
  </mergeCells>
  <phoneticPr fontId="6" type="noConversion"/>
  <dataValidations count="1">
    <dataValidation type="textLength" operator="lessThanOrEqual" allowBlank="1" showInputMessage="1" showErrorMessage="1" sqref="K3:O21" xr:uid="{4E9769E6-1F5D-402F-9E76-21B2F1FCCE2D}">
      <formula1>G7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55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86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44194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/>
      <c r="E20" s="21"/>
      <c r="F20" s="20"/>
      <c r="G20" s="20"/>
      <c r="H20" s="20"/>
      <c r="I20" s="70"/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/>
      <c r="E21" s="21"/>
      <c r="F21" s="20"/>
      <c r="G21" s="20"/>
      <c r="H21" s="20"/>
      <c r="I21" s="70"/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/>
      <c r="E22" s="21"/>
      <c r="F22" s="20"/>
      <c r="G22" s="20"/>
      <c r="H22" s="20"/>
      <c r="I22" s="70"/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/>
      <c r="E23" s="21"/>
      <c r="F23" s="20"/>
      <c r="G23" s="20"/>
      <c r="H23" s="20"/>
      <c r="I23" s="70"/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/>
      <c r="E24" s="20"/>
      <c r="F24" s="20"/>
      <c r="G24" s="20"/>
      <c r="H24" s="20"/>
      <c r="I24" s="70"/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0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>
    <tabColor theme="4" tint="0.59999389629810485"/>
  </sheetPr>
  <dimension ref="A1:AH103"/>
  <sheetViews>
    <sheetView topLeftCell="I1" workbookViewId="0">
      <selection activeCell="Q42" sqref="Q42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32.28515625" customWidth="1"/>
    <col min="7" max="7" width="123.42578125" customWidth="1"/>
    <col min="8" max="8" width="16.42578125" style="82" customWidth="1"/>
    <col min="9" max="9" width="28.5703125" customWidth="1"/>
    <col min="10" max="10" width="2.42578125" customWidth="1"/>
    <col min="11" max="11" width="3" customWidth="1"/>
    <col min="12" max="13" width="3.140625" customWidth="1"/>
    <col min="14" max="14" width="4.7109375" customWidth="1"/>
    <col min="15" max="15" width="3" customWidth="1"/>
    <col min="16" max="16" width="3.28515625" customWidth="1"/>
    <col min="17" max="17" width="3.42578125" customWidth="1"/>
    <col min="18" max="19" width="3.28515625" customWidth="1"/>
    <col min="20" max="20" width="3.7109375" customWidth="1"/>
    <col min="21" max="22" width="3.42578125" customWidth="1"/>
    <col min="23" max="23" width="14.5703125" bestFit="1" customWidth="1"/>
  </cols>
  <sheetData>
    <row r="1" spans="1:34" s="65" customFormat="1" ht="15.75" thickBot="1" x14ac:dyDescent="0.3">
      <c r="A1" s="68" t="s">
        <v>43</v>
      </c>
      <c r="B1" s="68" t="s">
        <v>41</v>
      </c>
      <c r="C1" s="68" t="s">
        <v>42</v>
      </c>
      <c r="D1" s="68" t="s">
        <v>46</v>
      </c>
      <c r="E1" s="68" t="s">
        <v>48</v>
      </c>
      <c r="F1" s="68" t="s">
        <v>47</v>
      </c>
      <c r="G1" s="68" t="s">
        <v>49</v>
      </c>
      <c r="H1" s="79" t="s">
        <v>90</v>
      </c>
      <c r="I1" s="68" t="s">
        <v>50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79" t="s">
        <v>91</v>
      </c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</row>
    <row r="2" spans="1:34" ht="15.75" thickBot="1" x14ac:dyDescent="0.3">
      <c r="A2" s="89" t="str">
        <f>IF(MASTER!K3="","",MASTER!K3)</f>
        <v>Company ABC</v>
      </c>
      <c r="B2" s="66" t="s">
        <v>45</v>
      </c>
      <c r="C2" s="66" t="s">
        <v>44</v>
      </c>
      <c r="D2" s="66" t="b">
        <v>1</v>
      </c>
      <c r="E2" s="66" t="str">
        <f t="shared" ref="E2:E14" si="0">"C:\_Excel_Examples\Expense_Report\invoices\" &amp; A2 &amp; ".xlsx"</f>
        <v>C:\_Excel_Examples\Expense_Report\invoices\Company ABC.xlsx</v>
      </c>
      <c r="F2" s="66" t="s">
        <v>95</v>
      </c>
      <c r="G2" s="66" t="str">
        <f>"This is a plain text email sent using win32com.Client.  HTML is an option, if desired, file should be attached for company: " &amp; $A2</f>
        <v>This is a plain text email sent using win32com.Client.  HTML is an option, if desired, file should be attached for company: Company ABC</v>
      </c>
      <c r="H2" s="80">
        <v>10</v>
      </c>
      <c r="I2" s="69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80">
        <v>55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89" t="str">
        <f>IF(MASTER!K4="","",MASTER!K4)</f>
        <v>Company RVCA</v>
      </c>
      <c r="B3" s="66" t="s">
        <v>45</v>
      </c>
      <c r="C3" s="66" t="s">
        <v>44</v>
      </c>
      <c r="D3" s="66" t="b">
        <v>1</v>
      </c>
      <c r="E3" s="66" t="str">
        <f t="shared" si="0"/>
        <v>C:\_Excel_Examples\Expense_Report\invoices\Company RVCA.xlsx</v>
      </c>
      <c r="F3" s="66" t="s">
        <v>96</v>
      </c>
      <c r="G3" s="66" t="s">
        <v>88</v>
      </c>
      <c r="H3" s="80">
        <v>15</v>
      </c>
      <c r="I3" s="6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89" t="str">
        <f>IF(MASTER!K5="","",MASTER!K5)</f>
        <v>Company FHG</v>
      </c>
      <c r="B4" s="66" t="s">
        <v>45</v>
      </c>
      <c r="C4" s="66" t="s">
        <v>44</v>
      </c>
      <c r="D4" s="66" t="b">
        <v>1</v>
      </c>
      <c r="E4" s="66" t="str">
        <f t="shared" si="0"/>
        <v>C:\_Excel_Examples\Expense_Report\invoices\Company FHG.xlsx</v>
      </c>
      <c r="F4" s="66" t="s">
        <v>97</v>
      </c>
      <c r="G4" s="66" t="s">
        <v>88</v>
      </c>
      <c r="H4" s="80">
        <v>20</v>
      </c>
      <c r="I4" s="69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89" t="str">
        <f>IF(MASTER!K6="","",MASTER!K6)</f>
        <v>Company JJJ</v>
      </c>
      <c r="B5" s="66" t="s">
        <v>45</v>
      </c>
      <c r="C5" s="66" t="s">
        <v>44</v>
      </c>
      <c r="D5" s="66" t="b">
        <v>1</v>
      </c>
      <c r="E5" s="66" t="str">
        <f t="shared" si="0"/>
        <v>C:\_Excel_Examples\Expense_Report\invoices\Company JJJ.xlsx</v>
      </c>
      <c r="F5" s="66" t="s">
        <v>98</v>
      </c>
      <c r="G5" s="66" t="s">
        <v>88</v>
      </c>
      <c r="H5" s="80">
        <v>20</v>
      </c>
      <c r="I5" s="69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89" t="str">
        <f>IF(MASTER!K7="","",MASTER!K7)</f>
        <v>Company KLS</v>
      </c>
      <c r="B6" s="66" t="s">
        <v>45</v>
      </c>
      <c r="C6" s="66" t="s">
        <v>44</v>
      </c>
      <c r="D6" s="66" t="b">
        <v>1</v>
      </c>
      <c r="E6" s="66" t="str">
        <f t="shared" si="0"/>
        <v>C:\_Excel_Examples\Expense_Report\invoices\Company KLS.xlsx</v>
      </c>
      <c r="F6" s="66" t="s">
        <v>99</v>
      </c>
      <c r="G6" s="66" t="s">
        <v>88</v>
      </c>
      <c r="H6" s="80">
        <v>60</v>
      </c>
      <c r="I6" s="6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89" t="str">
        <f>IF(MASTER!K8="","",MASTER!K8)</f>
        <v>Company OPD</v>
      </c>
      <c r="B7" s="66" t="s">
        <v>45</v>
      </c>
      <c r="C7" s="66" t="s">
        <v>44</v>
      </c>
      <c r="D7" s="66" t="b">
        <v>1</v>
      </c>
      <c r="E7" s="66" t="str">
        <f t="shared" si="0"/>
        <v>C:\_Excel_Examples\Expense_Report\invoices\Company OPD.xlsx</v>
      </c>
      <c r="F7" s="66" t="s">
        <v>100</v>
      </c>
      <c r="G7" s="66" t="s">
        <v>88</v>
      </c>
      <c r="H7" s="80">
        <v>60</v>
      </c>
      <c r="I7" s="69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89" t="str">
        <f>IF(MASTER!K9="","",MASTER!K9)</f>
        <v>Company TTT</v>
      </c>
      <c r="B8" s="66" t="s">
        <v>45</v>
      </c>
      <c r="C8" s="66" t="s">
        <v>44</v>
      </c>
      <c r="D8" s="66" t="b">
        <v>1</v>
      </c>
      <c r="E8" s="66" t="str">
        <f t="shared" si="0"/>
        <v>C:\_Excel_Examples\Expense_Report\invoices\Company TTT.xlsx</v>
      </c>
      <c r="F8" s="66" t="s">
        <v>101</v>
      </c>
      <c r="G8" s="66" t="s">
        <v>88</v>
      </c>
      <c r="H8" s="80">
        <v>30</v>
      </c>
      <c r="I8" s="69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89" t="str">
        <f>IF(MASTER!K10="","",MASTER!K10)</f>
        <v>Company WWW</v>
      </c>
      <c r="B9" s="66" t="s">
        <v>45</v>
      </c>
      <c r="C9" s="66" t="s">
        <v>44</v>
      </c>
      <c r="D9" s="66" t="b">
        <v>1</v>
      </c>
      <c r="E9" s="66" t="str">
        <f t="shared" si="0"/>
        <v>C:\_Excel_Examples\Expense_Report\invoices\Company WWW.xlsx</v>
      </c>
      <c r="F9" s="66" t="s">
        <v>102</v>
      </c>
      <c r="G9" s="66" t="s">
        <v>88</v>
      </c>
      <c r="H9" s="80">
        <v>15</v>
      </c>
      <c r="I9" s="69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89" t="str">
        <f>IF(MASTER!K11="","",MASTER!K11)</f>
        <v>Company OOO</v>
      </c>
      <c r="B10" s="66" t="s">
        <v>45</v>
      </c>
      <c r="C10" s="66" t="s">
        <v>44</v>
      </c>
      <c r="D10" s="66" t="b">
        <v>1</v>
      </c>
      <c r="E10" s="66" t="str">
        <f t="shared" si="0"/>
        <v>C:\_Excel_Examples\Expense_Report\invoices\Company OOO.xlsx</v>
      </c>
      <c r="F10" s="66" t="s">
        <v>103</v>
      </c>
      <c r="G10" s="66" t="s">
        <v>88</v>
      </c>
      <c r="H10" s="80">
        <v>6</v>
      </c>
      <c r="I10" s="69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89" t="str">
        <f>IF(MASTER!K12="","",MASTER!K12)</f>
        <v>Company LLL</v>
      </c>
      <c r="B11" s="66" t="s">
        <v>45</v>
      </c>
      <c r="C11" s="66" t="s">
        <v>44</v>
      </c>
      <c r="D11" s="66" t="b">
        <v>1</v>
      </c>
      <c r="E11" s="66" t="str">
        <f t="shared" si="0"/>
        <v>C:\_Excel_Examples\Expense_Report\invoices\Company LLL.xlsx</v>
      </c>
      <c r="F11" s="66" t="s">
        <v>104</v>
      </c>
      <c r="G11" s="66" t="s">
        <v>88</v>
      </c>
      <c r="H11" s="80">
        <v>6</v>
      </c>
      <c r="I11" s="69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89" t="str">
        <f>IF(MASTER!K13="","",MASTER!K13)</f>
        <v>Company LDY</v>
      </c>
      <c r="B12" s="66" t="s">
        <v>45</v>
      </c>
      <c r="C12" s="66" t="s">
        <v>44</v>
      </c>
      <c r="D12" s="66" t="b">
        <v>1</v>
      </c>
      <c r="E12" s="66" t="str">
        <f t="shared" si="0"/>
        <v>C:\_Excel_Examples\Expense_Report\invoices\Company LDY.xlsx</v>
      </c>
      <c r="F12" s="66" t="s">
        <v>105</v>
      </c>
      <c r="G12" s="66" t="s">
        <v>88</v>
      </c>
      <c r="H12" s="80">
        <v>5</v>
      </c>
      <c r="I12" s="69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89" t="str">
        <f>IF(MASTER!K14="","",MASTER!K14)</f>
        <v>Company QOS</v>
      </c>
      <c r="B13" s="66" t="s">
        <v>45</v>
      </c>
      <c r="C13" s="66" t="s">
        <v>44</v>
      </c>
      <c r="D13" s="66" t="b">
        <v>1</v>
      </c>
      <c r="E13" s="66" t="str">
        <f t="shared" si="0"/>
        <v>C:\_Excel_Examples\Expense_Report\invoices\Company QOS.xlsx</v>
      </c>
      <c r="F13" s="66" t="s">
        <v>106</v>
      </c>
      <c r="G13" s="66" t="s">
        <v>88</v>
      </c>
      <c r="H13" s="80">
        <v>3</v>
      </c>
      <c r="I13" s="69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89" t="str">
        <f>IF(MASTER!K15="","",MASTER!K15)</f>
        <v>Company LSTAT</v>
      </c>
      <c r="B14" s="66" t="s">
        <v>45</v>
      </c>
      <c r="C14" s="66" t="s">
        <v>44</v>
      </c>
      <c r="D14" s="66" t="b">
        <v>1</v>
      </c>
      <c r="E14" s="66" t="str">
        <f t="shared" si="0"/>
        <v>C:\_Excel_Examples\Expense_Report\invoices\Company LSTAT.xlsx</v>
      </c>
      <c r="F14" s="66" t="s">
        <v>107</v>
      </c>
      <c r="G14" s="66" t="s">
        <v>88</v>
      </c>
      <c r="H14" s="80">
        <v>3</v>
      </c>
      <c r="I14" s="69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89" t="str">
        <f>IF(MASTER!K16="","",MASTER!K16)</f>
        <v/>
      </c>
      <c r="B15" s="66"/>
      <c r="C15" s="66"/>
      <c r="D15" s="66"/>
      <c r="E15" s="66"/>
      <c r="F15" s="66"/>
      <c r="G15" s="66"/>
      <c r="H15" s="80"/>
      <c r="I15" s="6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89" t="str">
        <f>IF(MASTER!K17="","",MASTER!K17)</f>
        <v/>
      </c>
      <c r="B16" s="66"/>
      <c r="C16" s="66"/>
      <c r="D16" s="66"/>
      <c r="E16" s="66"/>
      <c r="F16" s="66"/>
      <c r="G16" s="66"/>
      <c r="H16" s="80"/>
      <c r="I16" s="69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89" t="str">
        <f>IF(MASTER!K18="","",MASTER!K18)</f>
        <v/>
      </c>
      <c r="B17" s="66"/>
      <c r="C17" s="66"/>
      <c r="D17" s="66"/>
      <c r="E17" s="66"/>
      <c r="F17" s="66"/>
      <c r="G17" s="66"/>
      <c r="H17" s="80"/>
      <c r="I17" s="69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89" t="str">
        <f>IF(MASTER!K19="","",MASTER!K19)</f>
        <v/>
      </c>
      <c r="B18" s="66"/>
      <c r="C18" s="66"/>
      <c r="D18" s="66"/>
      <c r="E18" s="66"/>
      <c r="F18" s="66"/>
      <c r="G18" s="66"/>
      <c r="H18" s="80"/>
      <c r="I18" s="6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89" t="str">
        <f>IF(MASTER!K20="","",MASTER!K20)</f>
        <v/>
      </c>
      <c r="B19" s="66"/>
      <c r="C19" s="66"/>
      <c r="D19" s="66"/>
      <c r="E19" s="66"/>
      <c r="F19" s="66"/>
      <c r="G19" s="66"/>
      <c r="H19" s="80"/>
      <c r="I19" s="69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89" t="str">
        <f>IF(MASTER!K21="","",MASTER!K21)</f>
        <v/>
      </c>
      <c r="B20" s="66"/>
      <c r="C20" s="66"/>
      <c r="D20" s="66"/>
      <c r="E20" s="66"/>
      <c r="F20" s="66"/>
      <c r="G20" s="66"/>
      <c r="H20" s="80"/>
      <c r="I20" s="69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s="2"/>
      <c r="B21" s="2"/>
      <c r="C21" s="2"/>
      <c r="D21" s="2"/>
      <c r="E21" s="2"/>
      <c r="F21" s="2"/>
      <c r="G21" s="2"/>
      <c r="H21" s="8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s="2"/>
      <c r="B22" s="2"/>
      <c r="C22" s="2"/>
      <c r="D22" s="2"/>
      <c r="E22" s="2"/>
      <c r="F22" s="2"/>
      <c r="G22" s="2"/>
      <c r="H22" s="81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s="2"/>
      <c r="B23" s="2"/>
      <c r="C23" s="2"/>
      <c r="D23" s="2"/>
      <c r="E23" s="2"/>
      <c r="F23" s="2"/>
      <c r="G23" s="2"/>
      <c r="H23" s="81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s="2"/>
      <c r="B24" s="2"/>
      <c r="C24" s="2"/>
      <c r="D24" s="2"/>
      <c r="E24" s="2"/>
      <c r="F24" s="2"/>
      <c r="G24" s="2"/>
      <c r="H24" s="81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s="2"/>
      <c r="B25" s="2"/>
      <c r="C25" s="2"/>
      <c r="D25" s="2"/>
      <c r="E25" s="2"/>
      <c r="F25" s="2"/>
      <c r="G25" s="2"/>
      <c r="H25" s="81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2"/>
      <c r="B26" s="2"/>
      <c r="C26" s="2"/>
      <c r="D26" s="2"/>
      <c r="E26" s="2"/>
      <c r="F26" s="2"/>
      <c r="G26" s="2"/>
      <c r="H26" s="81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81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81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81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81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81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8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8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8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81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8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81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81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8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81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81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81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81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81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81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81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81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81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81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8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8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8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8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81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81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81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81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81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81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81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81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81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81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81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81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8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81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81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81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81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81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81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81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81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81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81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81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81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81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81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81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81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81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81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81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81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81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81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81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81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81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81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81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81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81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81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81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81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81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81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81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81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81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</sheetData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>
    <tabColor theme="4" tint="0.59999389629810485"/>
  </sheetPr>
  <dimension ref="A1:AW51"/>
  <sheetViews>
    <sheetView workbookViewId="0">
      <selection activeCell="L35" sqref="L35"/>
    </sheetView>
  </sheetViews>
  <sheetFormatPr defaultRowHeight="15" x14ac:dyDescent="0.25"/>
  <sheetData>
    <row r="1" spans="1:49" ht="15.75" thickBot="1" x14ac:dyDescent="0.3">
      <c r="A1" s="117" t="s">
        <v>89</v>
      </c>
      <c r="B1" s="117"/>
      <c r="C1" s="117"/>
      <c r="D1" s="117"/>
      <c r="E1" s="117"/>
      <c r="F1" s="117" t="s">
        <v>93</v>
      </c>
      <c r="G1" s="117"/>
      <c r="H1" s="117"/>
      <c r="I1" s="117"/>
      <c r="J1" s="117"/>
      <c r="K1" s="117"/>
      <c r="L1" s="117"/>
      <c r="M1" s="117"/>
    </row>
    <row r="2" spans="1:49" ht="15.75" thickBot="1" x14ac:dyDescent="0.3">
      <c r="A2" s="117" t="s">
        <v>51</v>
      </c>
      <c r="B2" s="117"/>
      <c r="C2" s="117"/>
      <c r="D2" s="117"/>
      <c r="E2" s="117"/>
      <c r="F2" s="117" t="s">
        <v>94</v>
      </c>
      <c r="G2" s="117"/>
      <c r="H2" s="117"/>
      <c r="I2" s="117"/>
      <c r="J2" s="117"/>
      <c r="K2" s="117"/>
      <c r="L2" s="117"/>
      <c r="M2" s="11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5.75" thickBot="1" x14ac:dyDescent="0.3">
      <c r="A3" s="117" t="s">
        <v>52</v>
      </c>
      <c r="B3" s="117"/>
      <c r="C3" s="117"/>
      <c r="D3" s="117"/>
      <c r="E3" s="117"/>
      <c r="F3" s="117" t="s">
        <v>53</v>
      </c>
      <c r="G3" s="117"/>
      <c r="H3" s="117"/>
      <c r="I3" s="117"/>
      <c r="J3" s="117"/>
      <c r="K3" s="117"/>
      <c r="L3" s="117"/>
      <c r="M3" s="11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5.75" thickBot="1" x14ac:dyDescent="0.3">
      <c r="A4" s="117" t="s">
        <v>109</v>
      </c>
      <c r="B4" s="117"/>
      <c r="C4" s="117"/>
      <c r="D4" s="117"/>
      <c r="E4" s="117"/>
      <c r="F4" s="117" t="s">
        <v>110</v>
      </c>
      <c r="G4" s="117"/>
      <c r="H4" s="117"/>
      <c r="I4" s="117"/>
      <c r="J4" s="117"/>
      <c r="K4" s="117"/>
      <c r="L4" s="117"/>
      <c r="M4" s="117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5.75" thickBot="1" x14ac:dyDescent="0.3">
      <c r="A5" s="117" t="s">
        <v>111</v>
      </c>
      <c r="B5" s="117"/>
      <c r="C5" s="117"/>
      <c r="D5" s="117"/>
      <c r="E5" s="117"/>
      <c r="F5" s="117" t="s">
        <v>112</v>
      </c>
      <c r="G5" s="117"/>
      <c r="H5" s="117"/>
      <c r="I5" s="117"/>
      <c r="J5" s="117"/>
      <c r="K5" s="117"/>
      <c r="L5" s="117"/>
      <c r="M5" s="11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thickBot="1" x14ac:dyDescent="0.3">
      <c r="A6" s="116" t="s">
        <v>54</v>
      </c>
      <c r="B6" s="116"/>
      <c r="C6" s="116"/>
      <c r="D6" s="116"/>
      <c r="E6" s="116"/>
      <c r="F6" s="116" t="s">
        <v>55</v>
      </c>
      <c r="G6" s="116"/>
      <c r="H6" s="116"/>
      <c r="I6" s="116"/>
      <c r="J6" s="116"/>
      <c r="K6" s="116"/>
      <c r="L6" s="116"/>
      <c r="M6" s="116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ht="15.75" thickBot="1" x14ac:dyDescent="0.3">
      <c r="A7" s="116" t="s">
        <v>57</v>
      </c>
      <c r="B7" s="116"/>
      <c r="C7" s="116"/>
      <c r="D7" s="116"/>
      <c r="E7" s="116"/>
      <c r="F7" s="116" t="s">
        <v>56</v>
      </c>
      <c r="G7" s="116"/>
      <c r="H7" s="116"/>
      <c r="I7" s="116"/>
      <c r="J7" s="116"/>
      <c r="K7" s="116"/>
      <c r="L7" s="116"/>
      <c r="M7" s="116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  <row r="51" spans="1:4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</row>
  </sheetData>
  <mergeCells count="14">
    <mergeCell ref="A7:E7"/>
    <mergeCell ref="F7:M7"/>
    <mergeCell ref="A1:E1"/>
    <mergeCell ref="F1:M1"/>
    <mergeCell ref="F2:M2"/>
    <mergeCell ref="F3:M3"/>
    <mergeCell ref="A2:E2"/>
    <mergeCell ref="A3:E3"/>
    <mergeCell ref="A6:E6"/>
    <mergeCell ref="F6:M6"/>
    <mergeCell ref="A4:E4"/>
    <mergeCell ref="F4:M4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Company ABC-20</vt:lpstr>
      <vt:lpstr>Company RVCA-25</vt:lpstr>
      <vt:lpstr>Company FHG-71</vt:lpstr>
      <vt:lpstr>Company LDY-34</vt:lpstr>
      <vt:lpstr>Company QOS-41</vt:lpstr>
      <vt:lpstr>MASTER</vt:lpstr>
      <vt:lpstr>INVOICE_MASTER</vt:lpstr>
      <vt:lpstr>DATA</vt:lpstr>
      <vt:lpstr>FILE_PATHS</vt:lpstr>
      <vt:lpstr>'Company ABC-20'!billing_desc</vt:lpstr>
      <vt:lpstr>'Company FHG-71'!billing_desc</vt:lpstr>
      <vt:lpstr>'Company LDY-34'!billing_desc</vt:lpstr>
      <vt:lpstr>'Company QOS-41'!billing_desc</vt:lpstr>
      <vt:lpstr>'Company RVCA-25'!billing_desc</vt:lpstr>
      <vt:lpstr>billing_desc</vt:lpstr>
      <vt:lpstr>color_rng</vt:lpstr>
      <vt:lpstr>comp_rng</vt:lpstr>
      <vt:lpstr>'Company ABC-20'!company_name</vt:lpstr>
      <vt:lpstr>'Company FHG-71'!company_name</vt:lpstr>
      <vt:lpstr>'Company LDY-34'!company_name</vt:lpstr>
      <vt:lpstr>'Company QOS-41'!company_name</vt:lpstr>
      <vt:lpstr>'Company RVCA-25'!company_name</vt:lpstr>
      <vt:lpstr>company_name</vt:lpstr>
      <vt:lpstr>days_due</vt:lpstr>
      <vt:lpstr>'Company ABC-20'!due_date</vt:lpstr>
      <vt:lpstr>'Company FHG-71'!due_date</vt:lpstr>
      <vt:lpstr>'Company LDY-34'!due_date</vt:lpstr>
      <vt:lpstr>'Company QOS-41'!due_date</vt:lpstr>
      <vt:lpstr>'Company RVCA-25'!due_date</vt:lpstr>
      <vt:lpstr>due_date</vt:lpstr>
      <vt:lpstr>file_path_py</vt:lpstr>
      <vt:lpstr>'Company ABC-20'!fill_white</vt:lpstr>
      <vt:lpstr>'Company FHG-71'!fill_white</vt:lpstr>
      <vt:lpstr>'Company LDY-34'!fill_white</vt:lpstr>
      <vt:lpstr>'Company QOS-41'!fill_white</vt:lpstr>
      <vt:lpstr>'Company RVCA-25'!fill_white</vt:lpstr>
      <vt:lpstr>fill_white</vt:lpstr>
      <vt:lpstr>'Company ABC-20'!inv_cost</vt:lpstr>
      <vt:lpstr>'Company FHG-71'!inv_cost</vt:lpstr>
      <vt:lpstr>'Company LDY-34'!inv_cost</vt:lpstr>
      <vt:lpstr>'Company QOS-41'!inv_cost</vt:lpstr>
      <vt:lpstr>'Company RVCA-25'!inv_cost</vt:lpstr>
      <vt:lpstr>inv_cost</vt:lpstr>
      <vt:lpstr>'Company ABC-20'!inv_num</vt:lpstr>
      <vt:lpstr>'Company FHG-71'!inv_num</vt:lpstr>
      <vt:lpstr>'Company LDY-34'!inv_num</vt:lpstr>
      <vt:lpstr>'Company QOS-41'!inv_num</vt:lpstr>
      <vt:lpstr>'Company RVCA-25'!inv_num</vt:lpstr>
      <vt:lpstr>inv_num</vt:lpstr>
      <vt:lpstr>item_desc</vt:lpstr>
      <vt:lpstr>last_inv_num</vt:lpstr>
      <vt:lpstr>main_py</vt:lpstr>
      <vt:lpstr>master_comp_name</vt:lpstr>
      <vt:lpstr>master_comp_num</vt:lpstr>
      <vt:lpstr>master_comp_total</vt:lpstr>
      <vt:lpstr>path_invoices</vt:lpstr>
      <vt:lpstr>python_exe_path</vt:lpstr>
      <vt:lpstr>'Company ABC-20'!todays_date</vt:lpstr>
      <vt:lpstr>'Company FHG-71'!todays_date</vt:lpstr>
      <vt:lpstr>'Company LDY-34'!todays_date</vt:lpstr>
      <vt:lpstr>'Company QOS-41'!todays_date</vt:lpstr>
      <vt:lpstr>'Company RVCA-25'!todays_date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2020-10-30T14:37:57Z</dcterms:modified>
</cp:coreProperties>
</file>